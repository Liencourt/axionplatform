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.legey\Downloads\"/>
    </mc:Choice>
  </mc:AlternateContent>
  <xr:revisionPtr revIDLastSave="0" documentId="13_ncr:1_{7F35A98C-A4F7-4633-880F-F6A151D85F72}" xr6:coauthVersionLast="47" xr6:coauthVersionMax="47" xr10:uidLastSave="{00000000-0000-0000-0000-000000000000}"/>
  <bookViews>
    <workbookView xWindow="-110" yWindow="-110" windowWidth="19420" windowHeight="11500" activeTab="1" xr2:uid="{C144E459-02A4-46CB-B544-6C32E4C99208}"/>
  </bookViews>
  <sheets>
    <sheet name="Faturamento" sheetId="3" r:id="rId1"/>
    <sheet name="Bandas de Gastos - Campanha 1S" sheetId="4" r:id="rId2"/>
    <sheet name="Dados gerais" sheetId="5" r:id="rId3"/>
  </sheets>
  <definedNames>
    <definedName name="_xlnm._FilterDatabase" localSheetId="2" hidden="1">'Dados gerais'!$C$5:$G$157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3" l="1"/>
  <c r="P14" i="3"/>
  <c r="P23" i="3"/>
  <c r="E23" i="3"/>
  <c r="F23" i="3"/>
  <c r="G23" i="3"/>
  <c r="H23" i="3"/>
  <c r="I23" i="3"/>
  <c r="J23" i="3"/>
  <c r="K23" i="3"/>
  <c r="L23" i="3"/>
  <c r="M23" i="3"/>
  <c r="N23" i="3"/>
  <c r="O23" i="3"/>
  <c r="D23" i="3"/>
  <c r="E22" i="3" l="1"/>
  <c r="F22" i="3"/>
  <c r="G22" i="3"/>
  <c r="H22" i="3"/>
  <c r="I22" i="3"/>
  <c r="J22" i="3"/>
  <c r="P22" i="3" s="1"/>
  <c r="K22" i="3"/>
  <c r="L22" i="3"/>
  <c r="M22" i="3"/>
  <c r="N22" i="3"/>
  <c r="O22" i="3"/>
  <c r="D22" i="3"/>
  <c r="P18" i="3"/>
  <c r="P17" i="3"/>
  <c r="P13" i="3"/>
  <c r="P12" i="3"/>
  <c r="E8" i="4" l="1"/>
  <c r="M8" i="4" s="1"/>
  <c r="M7" i="4"/>
  <c r="P115" i="4"/>
  <c r="N115" i="4"/>
  <c r="M115" i="4"/>
  <c r="K15" i="4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C15" i="4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L14" i="4"/>
  <c r="J15" i="4" s="1"/>
  <c r="L15" i="4" s="1"/>
  <c r="J16" i="4" s="1"/>
  <c r="L16" i="4" s="1"/>
  <c r="J17" i="4" s="1"/>
  <c r="L17" i="4" s="1"/>
  <c r="J18" i="4" s="1"/>
  <c r="L18" i="4" s="1"/>
  <c r="J19" i="4" s="1"/>
  <c r="L19" i="4" s="1"/>
  <c r="J20" i="4" s="1"/>
  <c r="L20" i="4" s="1"/>
  <c r="J21" i="4" s="1"/>
  <c r="L21" i="4" s="1"/>
  <c r="J22" i="4" s="1"/>
  <c r="L22" i="4" s="1"/>
  <c r="J23" i="4" s="1"/>
  <c r="L23" i="4" s="1"/>
  <c r="J24" i="4" s="1"/>
  <c r="L24" i="4" s="1"/>
  <c r="J25" i="4" s="1"/>
  <c r="L25" i="4" s="1"/>
  <c r="J26" i="4" s="1"/>
  <c r="L26" i="4" s="1"/>
  <c r="J27" i="4" s="1"/>
  <c r="L27" i="4" s="1"/>
  <c r="J28" i="4" s="1"/>
  <c r="L28" i="4" s="1"/>
  <c r="J29" i="4" s="1"/>
  <c r="L29" i="4" s="1"/>
  <c r="J30" i="4" s="1"/>
  <c r="L30" i="4" s="1"/>
  <c r="J31" i="4" s="1"/>
  <c r="L31" i="4" s="1"/>
  <c r="J32" i="4" s="1"/>
  <c r="L32" i="4" s="1"/>
  <c r="J33" i="4" s="1"/>
  <c r="L33" i="4" s="1"/>
  <c r="J34" i="4" s="1"/>
  <c r="L34" i="4" s="1"/>
  <c r="J35" i="4" s="1"/>
  <c r="L35" i="4" s="1"/>
  <c r="J36" i="4" s="1"/>
  <c r="L36" i="4" s="1"/>
  <c r="J37" i="4" s="1"/>
  <c r="L37" i="4" s="1"/>
  <c r="J38" i="4" s="1"/>
  <c r="L38" i="4" s="1"/>
  <c r="J39" i="4" s="1"/>
  <c r="L39" i="4" s="1"/>
  <c r="J40" i="4" s="1"/>
  <c r="L40" i="4" s="1"/>
  <c r="J41" i="4" s="1"/>
  <c r="L41" i="4" s="1"/>
  <c r="J42" i="4" s="1"/>
  <c r="L42" i="4" s="1"/>
  <c r="J43" i="4" s="1"/>
  <c r="L43" i="4" s="1"/>
  <c r="J44" i="4" s="1"/>
  <c r="L44" i="4" s="1"/>
  <c r="J45" i="4" s="1"/>
  <c r="L45" i="4" s="1"/>
  <c r="J46" i="4" s="1"/>
  <c r="L46" i="4" s="1"/>
  <c r="J47" i="4" s="1"/>
  <c r="L47" i="4" s="1"/>
  <c r="J48" i="4" s="1"/>
  <c r="L48" i="4" s="1"/>
  <c r="J49" i="4" s="1"/>
  <c r="L49" i="4" s="1"/>
  <c r="J50" i="4" s="1"/>
  <c r="L50" i="4" s="1"/>
  <c r="J51" i="4" s="1"/>
  <c r="L51" i="4" s="1"/>
  <c r="J52" i="4" s="1"/>
  <c r="L52" i="4" s="1"/>
  <c r="J53" i="4" s="1"/>
  <c r="L53" i="4" s="1"/>
  <c r="J54" i="4" s="1"/>
  <c r="L54" i="4" s="1"/>
  <c r="J55" i="4" s="1"/>
  <c r="L55" i="4" s="1"/>
  <c r="J56" i="4" s="1"/>
  <c r="L56" i="4" s="1"/>
  <c r="J57" i="4" s="1"/>
  <c r="L57" i="4" s="1"/>
  <c r="J58" i="4" s="1"/>
  <c r="L58" i="4" s="1"/>
  <c r="J59" i="4" s="1"/>
  <c r="L59" i="4" s="1"/>
  <c r="J60" i="4" s="1"/>
  <c r="L60" i="4" s="1"/>
  <c r="J61" i="4" s="1"/>
  <c r="L61" i="4" s="1"/>
  <c r="J62" i="4" s="1"/>
  <c r="L62" i="4" s="1"/>
  <c r="J63" i="4" s="1"/>
  <c r="L63" i="4" s="1"/>
  <c r="J64" i="4" s="1"/>
  <c r="L64" i="4" s="1"/>
  <c r="J65" i="4" s="1"/>
  <c r="L65" i="4" s="1"/>
  <c r="J66" i="4" s="1"/>
  <c r="L66" i="4" s="1"/>
  <c r="J67" i="4" s="1"/>
  <c r="L67" i="4" s="1"/>
  <c r="J68" i="4" s="1"/>
  <c r="L68" i="4" s="1"/>
  <c r="J69" i="4" s="1"/>
  <c r="L69" i="4" s="1"/>
  <c r="J70" i="4" s="1"/>
  <c r="L70" i="4" s="1"/>
  <c r="J71" i="4" s="1"/>
  <c r="L71" i="4" s="1"/>
  <c r="J72" i="4" s="1"/>
  <c r="L72" i="4" s="1"/>
  <c r="J73" i="4" s="1"/>
  <c r="L73" i="4" s="1"/>
  <c r="J74" i="4" s="1"/>
  <c r="L74" i="4" s="1"/>
  <c r="J75" i="4" s="1"/>
  <c r="L75" i="4" s="1"/>
  <c r="J76" i="4" s="1"/>
  <c r="L76" i="4" s="1"/>
  <c r="J77" i="4" s="1"/>
  <c r="L77" i="4" s="1"/>
  <c r="J78" i="4" s="1"/>
  <c r="L78" i="4" s="1"/>
  <c r="J79" i="4" s="1"/>
  <c r="L79" i="4" s="1"/>
  <c r="J80" i="4" s="1"/>
  <c r="L80" i="4" s="1"/>
  <c r="J81" i="4" s="1"/>
  <c r="L81" i="4" s="1"/>
  <c r="J82" i="4" s="1"/>
  <c r="L82" i="4" s="1"/>
  <c r="J83" i="4" s="1"/>
  <c r="L83" i="4" s="1"/>
  <c r="J84" i="4" s="1"/>
  <c r="L84" i="4" s="1"/>
  <c r="J85" i="4" s="1"/>
  <c r="L85" i="4" s="1"/>
  <c r="J86" i="4" s="1"/>
  <c r="L86" i="4" s="1"/>
  <c r="J87" i="4" s="1"/>
  <c r="L87" i="4" s="1"/>
  <c r="J88" i="4" s="1"/>
  <c r="L88" i="4" s="1"/>
  <c r="J89" i="4" s="1"/>
  <c r="L89" i="4" s="1"/>
  <c r="J90" i="4" s="1"/>
  <c r="L90" i="4" s="1"/>
  <c r="J91" i="4" s="1"/>
  <c r="L91" i="4" s="1"/>
  <c r="J92" i="4" s="1"/>
  <c r="L92" i="4" s="1"/>
  <c r="J93" i="4" s="1"/>
  <c r="L93" i="4" s="1"/>
  <c r="J94" i="4" s="1"/>
  <c r="L94" i="4" s="1"/>
  <c r="J95" i="4" s="1"/>
  <c r="L95" i="4" s="1"/>
  <c r="J96" i="4" s="1"/>
  <c r="L96" i="4" s="1"/>
  <c r="J97" i="4" s="1"/>
  <c r="L97" i="4" s="1"/>
  <c r="J98" i="4" s="1"/>
  <c r="L98" i="4" s="1"/>
  <c r="J99" i="4" s="1"/>
  <c r="L99" i="4" s="1"/>
  <c r="J100" i="4" s="1"/>
  <c r="L100" i="4" s="1"/>
  <c r="J101" i="4" s="1"/>
  <c r="L101" i="4" s="1"/>
  <c r="J102" i="4" s="1"/>
  <c r="L102" i="4" s="1"/>
  <c r="J103" i="4" s="1"/>
  <c r="L103" i="4" s="1"/>
  <c r="J104" i="4" s="1"/>
  <c r="L104" i="4" s="1"/>
  <c r="J105" i="4" s="1"/>
  <c r="L105" i="4" s="1"/>
  <c r="J106" i="4" s="1"/>
  <c r="L106" i="4" s="1"/>
  <c r="J107" i="4" s="1"/>
  <c r="L107" i="4" s="1"/>
  <c r="J108" i="4" s="1"/>
  <c r="L108" i="4" s="1"/>
  <c r="J109" i="4" s="1"/>
  <c r="L109" i="4" s="1"/>
  <c r="J110" i="4" s="1"/>
  <c r="L110" i="4" s="1"/>
  <c r="J111" i="4" s="1"/>
  <c r="L111" i="4" s="1"/>
  <c r="J112" i="4" s="1"/>
  <c r="L112" i="4" s="1"/>
  <c r="J113" i="4" s="1"/>
  <c r="L113" i="4" s="1"/>
  <c r="D14" i="4"/>
  <c r="D15" i="4" s="1"/>
  <c r="B15" i="4" l="1"/>
  <c r="D16" i="4"/>
  <c r="B16" i="4"/>
  <c r="D17" i="4" l="1"/>
  <c r="B17" i="4"/>
  <c r="D18" i="4" l="1"/>
  <c r="B18" i="4"/>
  <c r="D19" i="4" l="1"/>
  <c r="B19" i="4"/>
  <c r="D20" i="4" l="1"/>
  <c r="B20" i="4"/>
  <c r="D21" i="4" l="1"/>
  <c r="B21" i="4"/>
  <c r="D22" i="4" l="1"/>
  <c r="B22" i="4"/>
  <c r="D23" i="4" l="1"/>
  <c r="B23" i="4"/>
  <c r="D24" i="4" l="1"/>
  <c r="B24" i="4"/>
  <c r="D25" i="4" l="1"/>
  <c r="B25" i="4"/>
  <c r="D26" i="4" l="1"/>
  <c r="B26" i="4"/>
  <c r="D27" i="4" l="1"/>
  <c r="B27" i="4"/>
  <c r="D28" i="4" l="1"/>
  <c r="B28" i="4"/>
  <c r="D29" i="4" l="1"/>
  <c r="B29" i="4"/>
  <c r="D30" i="4" l="1"/>
  <c r="B30" i="4"/>
  <c r="D31" i="4" l="1"/>
  <c r="B31" i="4"/>
  <c r="D32" i="4" l="1"/>
  <c r="B32" i="4"/>
  <c r="D33" i="4" l="1"/>
  <c r="B33" i="4"/>
  <c r="D34" i="4" l="1"/>
  <c r="B34" i="4"/>
  <c r="D35" i="4" l="1"/>
  <c r="B35" i="4"/>
  <c r="D36" i="4" l="1"/>
  <c r="B36" i="4"/>
  <c r="D37" i="4" l="1"/>
  <c r="B37" i="4"/>
  <c r="D38" i="4" l="1"/>
  <c r="B38" i="4"/>
  <c r="D39" i="4" l="1"/>
  <c r="B39" i="4"/>
  <c r="D40" i="4" l="1"/>
  <c r="B40" i="4"/>
  <c r="D41" i="4" l="1"/>
  <c r="B41" i="4"/>
  <c r="D42" i="4" l="1"/>
  <c r="B42" i="4"/>
  <c r="D43" i="4" l="1"/>
  <c r="B43" i="4"/>
  <c r="D44" i="4" l="1"/>
  <c r="B44" i="4"/>
  <c r="D45" i="4" l="1"/>
  <c r="B45" i="4"/>
  <c r="D46" i="4" l="1"/>
  <c r="B46" i="4"/>
  <c r="D47" i="4" l="1"/>
  <c r="B47" i="4"/>
  <c r="D48" i="4" l="1"/>
  <c r="B48" i="4"/>
  <c r="D49" i="4" l="1"/>
  <c r="B49" i="4"/>
  <c r="D50" i="4" l="1"/>
  <c r="B50" i="4"/>
  <c r="D51" i="4" l="1"/>
  <c r="B51" i="4"/>
  <c r="D52" i="4" l="1"/>
  <c r="B52" i="4"/>
  <c r="D53" i="4" l="1"/>
  <c r="B53" i="4"/>
  <c r="D54" i="4" l="1"/>
  <c r="B54" i="4"/>
  <c r="D55" i="4" l="1"/>
  <c r="B55" i="4"/>
  <c r="D56" i="4" l="1"/>
  <c r="B56" i="4"/>
  <c r="D57" i="4" l="1"/>
  <c r="B57" i="4"/>
  <c r="D58" i="4" l="1"/>
  <c r="B58" i="4"/>
  <c r="D59" i="4" l="1"/>
  <c r="B59" i="4"/>
  <c r="D60" i="4" l="1"/>
  <c r="B60" i="4"/>
  <c r="D61" i="4" l="1"/>
  <c r="B61" i="4"/>
  <c r="D62" i="4" l="1"/>
  <c r="B62" i="4"/>
  <c r="D63" i="4" l="1"/>
  <c r="B63" i="4"/>
  <c r="D64" i="4" l="1"/>
  <c r="B64" i="4"/>
  <c r="D65" i="4" l="1"/>
  <c r="B65" i="4"/>
  <c r="D66" i="4" l="1"/>
  <c r="B66" i="4"/>
  <c r="D67" i="4" l="1"/>
  <c r="B67" i="4"/>
  <c r="D68" i="4" l="1"/>
  <c r="B68" i="4"/>
  <c r="D69" i="4" l="1"/>
  <c r="B69" i="4"/>
  <c r="D70" i="4" l="1"/>
  <c r="B70" i="4"/>
  <c r="D71" i="4" l="1"/>
  <c r="B71" i="4"/>
  <c r="D72" i="4" l="1"/>
  <c r="B72" i="4"/>
  <c r="D73" i="4" l="1"/>
  <c r="B73" i="4"/>
  <c r="D74" i="4" l="1"/>
  <c r="B74" i="4"/>
  <c r="D75" i="4" l="1"/>
  <c r="B75" i="4"/>
  <c r="D76" i="4" l="1"/>
  <c r="B76" i="4"/>
  <c r="D77" i="4" l="1"/>
  <c r="B77" i="4"/>
  <c r="D78" i="4" l="1"/>
  <c r="B78" i="4"/>
  <c r="D79" i="4" l="1"/>
  <c r="B79" i="4"/>
  <c r="D80" i="4" l="1"/>
  <c r="B80" i="4"/>
  <c r="D81" i="4" l="1"/>
  <c r="B81" i="4"/>
  <c r="D82" i="4" l="1"/>
  <c r="B82" i="4"/>
  <c r="D83" i="4" l="1"/>
  <c r="B83" i="4"/>
  <c r="D84" i="4" l="1"/>
  <c r="B84" i="4"/>
  <c r="D85" i="4" l="1"/>
  <c r="B85" i="4"/>
  <c r="D86" i="4" l="1"/>
  <c r="B86" i="4"/>
  <c r="D87" i="4" l="1"/>
  <c r="B87" i="4"/>
  <c r="D88" i="4" l="1"/>
  <c r="B88" i="4"/>
  <c r="D89" i="4" l="1"/>
  <c r="B89" i="4"/>
  <c r="D90" i="4" l="1"/>
  <c r="B90" i="4"/>
  <c r="D91" i="4" l="1"/>
  <c r="B91" i="4"/>
  <c r="D92" i="4" l="1"/>
  <c r="B92" i="4"/>
  <c r="D93" i="4" l="1"/>
  <c r="B93" i="4"/>
  <c r="D94" i="4" l="1"/>
  <c r="B94" i="4"/>
  <c r="D95" i="4" l="1"/>
  <c r="B95" i="4"/>
  <c r="D96" i="4" l="1"/>
  <c r="B96" i="4"/>
  <c r="D97" i="4" l="1"/>
  <c r="B97" i="4"/>
  <c r="D98" i="4" l="1"/>
  <c r="B98" i="4"/>
  <c r="D99" i="4" l="1"/>
  <c r="B99" i="4"/>
  <c r="D100" i="4" l="1"/>
  <c r="B100" i="4"/>
  <c r="D101" i="4" l="1"/>
  <c r="B101" i="4"/>
  <c r="D102" i="4" l="1"/>
  <c r="B102" i="4"/>
  <c r="D103" i="4" l="1"/>
  <c r="B103" i="4"/>
  <c r="D104" i="4" l="1"/>
  <c r="B104" i="4"/>
  <c r="D105" i="4" l="1"/>
  <c r="B105" i="4"/>
  <c r="D106" i="4" l="1"/>
  <c r="B106" i="4"/>
  <c r="D107" i="4" l="1"/>
  <c r="B107" i="4"/>
  <c r="D108" i="4" l="1"/>
  <c r="B108" i="4"/>
  <c r="D109" i="4" l="1"/>
  <c r="B109" i="4"/>
  <c r="D110" i="4" l="1"/>
  <c r="B110" i="4"/>
  <c r="D111" i="4" l="1"/>
  <c r="B111" i="4"/>
  <c r="D112" i="4" l="1"/>
  <c r="B112" i="4"/>
  <c r="D113" i="4" l="1"/>
  <c r="B113" i="4"/>
</calcChain>
</file>

<file path=xl/sharedStrings.xml><?xml version="1.0" encoding="utf-8"?>
<sst xmlns="http://schemas.openxmlformats.org/spreadsheetml/2006/main" count="693" uniqueCount="371">
  <si>
    <t>Resumo</t>
  </si>
  <si>
    <t>Inserir as informações mensais Real ou Estimativa/Forecast</t>
  </si>
  <si>
    <t xml:space="preserve">janeiro </t>
  </si>
  <si>
    <t xml:space="preserve">fevereiro 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</si>
  <si>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</si>
  <si>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</si>
  <si>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</si>
  <si>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</si>
  <si>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</si>
  <si>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</si>
  <si>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</si>
  <si>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</si>
  <si>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</si>
  <si>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</si>
  <si>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Faturamento Bruto  2024 R$:</t>
  </si>
  <si>
    <t>Faturamento cliente fidelidade Bruto 2024</t>
  </si>
  <si>
    <t>Quantidade de lojas:</t>
  </si>
  <si>
    <t>Faturamento Bruto 2025 R$:</t>
  </si>
  <si>
    <t>Faturamento cliente fidelidade Bruto 2025</t>
  </si>
  <si>
    <t>Faturamento Bruto Planejado 2026 R$:</t>
  </si>
  <si>
    <t>Faturamento cliente fidelidade Bruto 2026</t>
  </si>
  <si>
    <t>Período de Análise de Dados (Toda a Base)</t>
  </si>
  <si>
    <t>Período de Análise de Dados (Base Clientes Identificados)</t>
  </si>
  <si>
    <t>Data inicial</t>
  </si>
  <si>
    <t>Data final</t>
  </si>
  <si>
    <t>Bandas:</t>
  </si>
  <si>
    <t>Bandas de gastos:</t>
  </si>
  <si>
    <t>**Em cada linha devem ser informados os dados dos clientes que tiveram o gasto acumulado, no valor da banda de gasato. Primeiro, olha-se gasto acumulado, depois informa os dados referentes a estes.</t>
  </si>
  <si>
    <r>
      <t xml:space="preserve">*Análise de </t>
    </r>
    <r>
      <rPr>
        <b/>
        <i/>
        <sz val="11"/>
        <color theme="1"/>
        <rFont val="Arial"/>
        <family val="2"/>
      </rPr>
      <t>transações</t>
    </r>
    <r>
      <rPr>
        <i/>
        <sz val="11"/>
        <color theme="1"/>
        <rFont val="Arial"/>
        <family val="2"/>
      </rPr>
      <t xml:space="preserve"> no período identificado. </t>
    </r>
  </si>
  <si>
    <t>Bandas R$</t>
  </si>
  <si>
    <t>Faturamento (R$)</t>
  </si>
  <si>
    <t>Bandas de gastos (R$)</t>
  </si>
  <si>
    <t>Qtde. clientes</t>
  </si>
  <si>
    <t>a</t>
  </si>
  <si>
    <t>Acima de</t>
  </si>
  <si>
    <t>Listar todas as lojas e suas informações</t>
  </si>
  <si>
    <t xml:space="preserve">Loja </t>
  </si>
  <si>
    <t>Cidade</t>
  </si>
  <si>
    <t>Margem Bruta</t>
  </si>
  <si>
    <t>Possui importação própria?</t>
  </si>
  <si>
    <t>Caso não possua, qual trading utiliza?</t>
  </si>
  <si>
    <t>Porto de preferência para importação</t>
  </si>
  <si>
    <t>Tempo médio de envio do CD até as lojas</t>
  </si>
  <si>
    <t>Total</t>
  </si>
  <si>
    <t>Associado</t>
  </si>
  <si>
    <t>FLORESTA</t>
  </si>
  <si>
    <t>FLORESTA 1</t>
  </si>
  <si>
    <t>FLORESTA 2</t>
  </si>
  <si>
    <t>FLORESTA 3</t>
  </si>
  <si>
    <t>FLORESTA 4</t>
  </si>
  <si>
    <t>FLORESTA 5</t>
  </si>
  <si>
    <t>FLORESTA 6</t>
  </si>
  <si>
    <t>FLORESTA 7</t>
  </si>
  <si>
    <t>FLORESTA 8</t>
  </si>
  <si>
    <t>FLORESTA 9</t>
  </si>
  <si>
    <t>FLORESTA 10</t>
  </si>
  <si>
    <t>Centro</t>
  </si>
  <si>
    <t>São Lucas</t>
  </si>
  <si>
    <t>Aterrado</t>
  </si>
  <si>
    <t>Retiro</t>
  </si>
  <si>
    <t>V. Sta Cecília</t>
  </si>
  <si>
    <t>Rolamão</t>
  </si>
  <si>
    <t>Coelho da Rocha</t>
  </si>
  <si>
    <t xml:space="preserve">Santa Amélia </t>
  </si>
  <si>
    <t>Jd. Primavera</t>
  </si>
  <si>
    <t>Pilares</t>
  </si>
  <si>
    <t>Barra da Tijuca</t>
  </si>
  <si>
    <t>Tijuca</t>
  </si>
  <si>
    <t>Praça Seca</t>
  </si>
  <si>
    <t>São Conrado</t>
  </si>
  <si>
    <t>Campo Grande</t>
  </si>
  <si>
    <t>Taquara/ Outeiro Santo</t>
  </si>
  <si>
    <t>Bonsucesso</t>
  </si>
  <si>
    <t>Maracanã</t>
  </si>
  <si>
    <t>Nova Iguaçu</t>
  </si>
  <si>
    <t>Freguesia (Jacarepaguá)</t>
  </si>
  <si>
    <t>Nova Iguaçu II</t>
  </si>
  <si>
    <t>TORRE</t>
  </si>
  <si>
    <t>TORRE 1</t>
  </si>
  <si>
    <t>TORRE 2</t>
  </si>
  <si>
    <t>TORRE 3</t>
  </si>
  <si>
    <t>TORRE 4</t>
  </si>
  <si>
    <t>TORRE 5</t>
  </si>
  <si>
    <t>TORRE 6</t>
  </si>
  <si>
    <t>TORRE 7</t>
  </si>
  <si>
    <t>TORRE 8</t>
  </si>
  <si>
    <t>TORRE 9</t>
  </si>
  <si>
    <t>TORRE 10</t>
  </si>
  <si>
    <t>TORRE 11</t>
  </si>
  <si>
    <t>TORRE 12</t>
  </si>
  <si>
    <t>TORRE 13</t>
  </si>
  <si>
    <t>TORRE 14</t>
  </si>
  <si>
    <t>TORRE 15</t>
  </si>
  <si>
    <t>TORRE 16</t>
  </si>
  <si>
    <t>TORRE 17</t>
  </si>
  <si>
    <t>TORRE 18</t>
  </si>
  <si>
    <t>TORRE 19</t>
  </si>
  <si>
    <t>TORRE 20</t>
  </si>
  <si>
    <t>TORRE 21</t>
  </si>
  <si>
    <t>TORRE 22</t>
  </si>
  <si>
    <t>Resende</t>
  </si>
  <si>
    <t>Valença</t>
  </si>
  <si>
    <t>Pinheiral</t>
  </si>
  <si>
    <t>Bairro</t>
  </si>
  <si>
    <t>Vila Norma</t>
  </si>
  <si>
    <t>Éden</t>
  </si>
  <si>
    <t>Austin</t>
  </si>
  <si>
    <t>Jd. Metrópole</t>
  </si>
  <si>
    <t>Japeri</t>
  </si>
  <si>
    <t>Engenheiro Pedreira</t>
  </si>
  <si>
    <t>Vila da Penha</t>
  </si>
  <si>
    <t>Cocotá - Ilha do Governador</t>
  </si>
  <si>
    <t>Olaria</t>
  </si>
  <si>
    <t>Marechal Hermes</t>
  </si>
  <si>
    <t>Posse</t>
  </si>
  <si>
    <t>Miguel Couto</t>
  </si>
  <si>
    <t>Queimados</t>
  </si>
  <si>
    <t>Vila Pacaembu</t>
  </si>
  <si>
    <t>REAL</t>
  </si>
  <si>
    <t>REAL 1</t>
  </si>
  <si>
    <t>REAL 2</t>
  </si>
  <si>
    <t>REAL 3</t>
  </si>
  <si>
    <t>REAL 4</t>
  </si>
  <si>
    <t>REAL 5</t>
  </si>
  <si>
    <t>REAL 6</t>
  </si>
  <si>
    <t>REAL 7</t>
  </si>
  <si>
    <t>REAL 8</t>
  </si>
  <si>
    <t>REAL 9</t>
  </si>
  <si>
    <t>REAL 10</t>
  </si>
  <si>
    <t>REAL 11</t>
  </si>
  <si>
    <t>REAL 12</t>
  </si>
  <si>
    <t>REAL 13</t>
  </si>
  <si>
    <t>Pedra de Guaratiba</t>
  </si>
  <si>
    <t>Recreio</t>
  </si>
  <si>
    <t>Guaratiba</t>
  </si>
  <si>
    <t>Centro (Bairro de Fátima)</t>
  </si>
  <si>
    <t>Gardênia Azul</t>
  </si>
  <si>
    <t>Tanque</t>
  </si>
  <si>
    <t>Cascadura</t>
  </si>
  <si>
    <t>Parada de Lucas</t>
  </si>
  <si>
    <t>BARRA OESTE</t>
  </si>
  <si>
    <t>BARRA OESTE 1</t>
  </si>
  <si>
    <t>BARRA OESTE 2</t>
  </si>
  <si>
    <t>BARRA OESTE 3</t>
  </si>
  <si>
    <t>BARRA OESTE 4</t>
  </si>
  <si>
    <t>BARRA OESTE 5</t>
  </si>
  <si>
    <t>BARRA OESTE 6</t>
  </si>
  <si>
    <t>BARRA OESTE 7</t>
  </si>
  <si>
    <t>BARRA OESTE 8</t>
  </si>
  <si>
    <t>BARRA OESTE 9</t>
  </si>
  <si>
    <t>BARRA OESTE 10</t>
  </si>
  <si>
    <t>BARRA OESTE 11</t>
  </si>
  <si>
    <t>BARRA OESTE 12</t>
  </si>
  <si>
    <t>BARRA OESTE 13</t>
  </si>
  <si>
    <t>Niterói</t>
  </si>
  <si>
    <t>Fonseca</t>
  </si>
  <si>
    <t>Piratininga</t>
  </si>
  <si>
    <t>Itaipu-Fazendinha</t>
  </si>
  <si>
    <t>Santa  Cruz da Serra
da Serra</t>
  </si>
  <si>
    <t>Porto Novo</t>
  </si>
  <si>
    <t>Largo da Batalha</t>
  </si>
  <si>
    <t>Viga</t>
  </si>
  <si>
    <t xml:space="preserve">São Gonçalo </t>
  </si>
  <si>
    <t xml:space="preserve">Porto  Velho </t>
  </si>
  <si>
    <t>Engenho do Mato</t>
  </si>
  <si>
    <t>Mesquita</t>
  </si>
  <si>
    <t>Centro (Mesquita)</t>
  </si>
  <si>
    <t xml:space="preserve">Valverde </t>
  </si>
  <si>
    <t>Barreto</t>
  </si>
  <si>
    <t>Del Castilho</t>
  </si>
  <si>
    <t>Inhaúma</t>
  </si>
  <si>
    <t>Penha</t>
  </si>
  <si>
    <t>Cafubá/ Piratininga</t>
  </si>
  <si>
    <t>PADRÃO</t>
  </si>
  <si>
    <t>PADRÃO 1</t>
  </si>
  <si>
    <t>PADRÃO 2</t>
  </si>
  <si>
    <t>PADRÃO 3</t>
  </si>
  <si>
    <t>PADRÃO 4</t>
  </si>
  <si>
    <t>PADRÃO 5</t>
  </si>
  <si>
    <t>PADRÃO 6</t>
  </si>
  <si>
    <t>PADRÃO 7</t>
  </si>
  <si>
    <t>PADRÃO 8</t>
  </si>
  <si>
    <t>PADRÃO 9</t>
  </si>
  <si>
    <t>PADRÃO 10</t>
  </si>
  <si>
    <t>PADRÃO 11</t>
  </si>
  <si>
    <t>PADRÃO 12</t>
  </si>
  <si>
    <t>PADRÃO 13</t>
  </si>
  <si>
    <t>PADRÃO 14</t>
  </si>
  <si>
    <t>PADRÃO 15</t>
  </si>
  <si>
    <t>PADRÃO 16</t>
  </si>
  <si>
    <t>PADRÃO 17</t>
  </si>
  <si>
    <t>PADRÃO 18</t>
  </si>
  <si>
    <t>Tanguá</t>
  </si>
  <si>
    <t>Magé</t>
  </si>
  <si>
    <t>Jardim Catarina</t>
  </si>
  <si>
    <t>Maricá</t>
  </si>
  <si>
    <t xml:space="preserve">Arsenal </t>
  </si>
  <si>
    <t xml:space="preserve">Rio Bonito </t>
  </si>
  <si>
    <t xml:space="preserve">Mangueirinha </t>
  </si>
  <si>
    <t xml:space="preserve">Itaboraí </t>
  </si>
  <si>
    <t xml:space="preserve">Centro </t>
  </si>
  <si>
    <t>Rio de Janeiro</t>
  </si>
  <si>
    <t>Botafogo</t>
  </si>
  <si>
    <t xml:space="preserve">Magé </t>
  </si>
  <si>
    <t xml:space="preserve">Saquarema </t>
  </si>
  <si>
    <t>Bacaxá</t>
  </si>
  <si>
    <t>Araruama</t>
  </si>
  <si>
    <t xml:space="preserve">Cabo frio </t>
  </si>
  <si>
    <t>Shopping Park Lagos</t>
  </si>
  <si>
    <t xml:space="preserve">São Pedro da Aldeia </t>
  </si>
  <si>
    <t xml:space="preserve">Jardim Esperança </t>
  </si>
  <si>
    <t xml:space="preserve">Alto Cajueiros </t>
  </si>
  <si>
    <t xml:space="preserve">Rio do Ouro </t>
  </si>
  <si>
    <t>Inoã</t>
  </si>
  <si>
    <t>Itaborai - Bacaxá</t>
  </si>
  <si>
    <t>Trindade</t>
  </si>
  <si>
    <t xml:space="preserve">Nova Cidade </t>
  </si>
  <si>
    <t xml:space="preserve">Vila Capri </t>
  </si>
  <si>
    <t>São Francisco Xavier</t>
  </si>
  <si>
    <t>Copacabana</t>
  </si>
  <si>
    <t>São Cristovão</t>
  </si>
  <si>
    <t>Casimiro de Abreu</t>
  </si>
  <si>
    <t>Vila Mataruna</t>
  </si>
  <si>
    <t>colubande</t>
  </si>
  <si>
    <t>Armação dos Búzios</t>
  </si>
  <si>
    <t>Rasa</t>
  </si>
  <si>
    <t>Cordeirinho</t>
  </si>
  <si>
    <t>Iguaba Grande</t>
  </si>
  <si>
    <t>CABO FRIO</t>
  </si>
  <si>
    <t>Unamar</t>
  </si>
  <si>
    <t>Rocha</t>
  </si>
  <si>
    <t>Rio das Ostras</t>
  </si>
  <si>
    <t>ALVORADA</t>
  </si>
  <si>
    <t>ALVORADA 1</t>
  </si>
  <si>
    <t>ALVORADA 2</t>
  </si>
  <si>
    <t>ALVORADA 3</t>
  </si>
  <si>
    <t>ALVORADA 4</t>
  </si>
  <si>
    <t>ALVORADA 5</t>
  </si>
  <si>
    <t>ALVORADA 6</t>
  </si>
  <si>
    <t>ALVORADA 7</t>
  </si>
  <si>
    <t>ALVORADA 8</t>
  </si>
  <si>
    <t>ALVORADA 9</t>
  </si>
  <si>
    <t>ALVORADA 10</t>
  </si>
  <si>
    <t>ALVORADA 11</t>
  </si>
  <si>
    <t>ALVORADA 12</t>
  </si>
  <si>
    <t>ALVORADA 13</t>
  </si>
  <si>
    <t>ALVORADA 14</t>
  </si>
  <si>
    <t>ALVORADA 15</t>
  </si>
  <si>
    <t>ALVORADA 16</t>
  </si>
  <si>
    <t>ALVORADA 17</t>
  </si>
  <si>
    <t>ALVORADA 18</t>
  </si>
  <si>
    <t>ALVORADA 19</t>
  </si>
  <si>
    <t>ALVORADA 20</t>
  </si>
  <si>
    <t>ALVORADA 21</t>
  </si>
  <si>
    <t>ALVORADA 22</t>
  </si>
  <si>
    <t>ALVORADA 23</t>
  </si>
  <si>
    <t>ALVORADA 24</t>
  </si>
  <si>
    <t>ALVORADA 25</t>
  </si>
  <si>
    <t>ALVORADA 26</t>
  </si>
  <si>
    <t>ALVORADA 27</t>
  </si>
  <si>
    <t>ALVORADA 28</t>
  </si>
  <si>
    <t>ALVORADA 29</t>
  </si>
  <si>
    <t>ALVORADA 30</t>
  </si>
  <si>
    <t>ALVORADA 31</t>
  </si>
  <si>
    <t>ALVORADA 32</t>
  </si>
  <si>
    <t>ALVORADA 33</t>
  </si>
  <si>
    <t>ALVORADA 34</t>
  </si>
  <si>
    <t>ALVORADA 35</t>
  </si>
  <si>
    <t>ALVORADA 36</t>
  </si>
  <si>
    <t xml:space="preserve">Penha </t>
  </si>
  <si>
    <t>Anchieta</t>
  </si>
  <si>
    <t>Cosmos</t>
  </si>
  <si>
    <t>Jd. Redentor</t>
  </si>
  <si>
    <t>Bangu</t>
  </si>
  <si>
    <t>Benfica</t>
  </si>
  <si>
    <t>Sepetiba</t>
  </si>
  <si>
    <t>Fragoso</t>
  </si>
  <si>
    <t>Vila Inhomirim (Piabetá)</t>
  </si>
  <si>
    <t>FÊNIX</t>
  </si>
  <si>
    <t>FÊNIX 1</t>
  </si>
  <si>
    <t>FÊNIX 2</t>
  </si>
  <si>
    <t>FÊNIX 3</t>
  </si>
  <si>
    <t>RAMIGOS</t>
  </si>
  <si>
    <t>RAMIGOS 1</t>
  </si>
  <si>
    <t>RAMIGOS 2</t>
  </si>
  <si>
    <t>RAMIGOS 3</t>
  </si>
  <si>
    <t>RAMIGOS 4</t>
  </si>
  <si>
    <t>RAMIGOS 5</t>
  </si>
  <si>
    <t>RAMIGOS 6</t>
  </si>
  <si>
    <t>RAMIGOS 7</t>
  </si>
  <si>
    <t>RAMIGOS 8</t>
  </si>
  <si>
    <t>Eden</t>
  </si>
  <si>
    <t xml:space="preserve">São Matheus </t>
  </si>
  <si>
    <t>Guadalupe</t>
  </si>
  <si>
    <t>CRUZEIRO</t>
  </si>
  <si>
    <t>CRUZEIRO 1</t>
  </si>
  <si>
    <t>CRUZEIRO 2</t>
  </si>
  <si>
    <t>CRUZEIRO 3</t>
  </si>
  <si>
    <t>Deodoro</t>
  </si>
  <si>
    <t>Santa Margarida - Cpo Grande</t>
  </si>
  <si>
    <t>Nilópolis</t>
  </si>
  <si>
    <t>N. S. de Fátima</t>
  </si>
  <si>
    <t>Parque Anchieta</t>
  </si>
  <si>
    <t>Paciência</t>
  </si>
  <si>
    <t>NDP</t>
  </si>
  <si>
    <t>NDP 1</t>
  </si>
  <si>
    <t>NDP 2</t>
  </si>
  <si>
    <t>NDP 3</t>
  </si>
  <si>
    <t>NDP 4</t>
  </si>
  <si>
    <t>NDP 5</t>
  </si>
  <si>
    <t>Alcântara</t>
  </si>
  <si>
    <t>Pacheco</t>
  </si>
  <si>
    <t>Senador Camará</t>
  </si>
  <si>
    <t>Vilar dos teles</t>
  </si>
  <si>
    <t>Centro (Petropolis)</t>
  </si>
  <si>
    <t xml:space="preserve">Manilha </t>
  </si>
  <si>
    <t>Pavuna</t>
  </si>
  <si>
    <t>Petrópolis</t>
  </si>
  <si>
    <t>Santo Cristo</t>
  </si>
  <si>
    <t>Amendoeira</t>
  </si>
  <si>
    <t>Nova Friburgo</t>
  </si>
  <si>
    <t>Centro (Friburgo)</t>
  </si>
  <si>
    <t>Duque de Caxias</t>
  </si>
  <si>
    <t>Coelho Neto</t>
  </si>
  <si>
    <t>Realengo</t>
  </si>
  <si>
    <t>GMAP</t>
  </si>
  <si>
    <t>GMAP 1</t>
  </si>
  <si>
    <t>GMAP 2</t>
  </si>
  <si>
    <t>GMAP 3</t>
  </si>
  <si>
    <t>GMAP 4</t>
  </si>
  <si>
    <t>GMAP 5</t>
  </si>
  <si>
    <t>GMAP 6</t>
  </si>
  <si>
    <t>GMAP 7</t>
  </si>
  <si>
    <t>GMAP 8</t>
  </si>
  <si>
    <t>GMAP 9</t>
  </si>
  <si>
    <t>GMAP 10</t>
  </si>
  <si>
    <t>GMAP 11</t>
  </si>
  <si>
    <t>GMAP 12</t>
  </si>
  <si>
    <t>GMAP 13</t>
  </si>
  <si>
    <t>GMAP 14</t>
  </si>
  <si>
    <t>GMAP 15</t>
  </si>
  <si>
    <t>GMAP 16</t>
  </si>
  <si>
    <t>GMAP 17</t>
  </si>
  <si>
    <t>GMAP 18</t>
  </si>
  <si>
    <t>GMAP 19</t>
  </si>
  <si>
    <t>GMAP 20</t>
  </si>
  <si>
    <t>GMAP 21</t>
  </si>
  <si>
    <t>São João</t>
  </si>
  <si>
    <t>Mutondo / Alcantara</t>
  </si>
  <si>
    <t>Centro (Tanguá)</t>
  </si>
  <si>
    <t>Centro (Mage I)</t>
  </si>
  <si>
    <t>São Jose do Imbassai (Maricá)</t>
  </si>
  <si>
    <t xml:space="preserve">Galo Branco / Água Mineral </t>
  </si>
  <si>
    <t>Gloria (Macaé II)</t>
  </si>
  <si>
    <t>Pq. Uruguaiana / Saracuruna</t>
  </si>
  <si>
    <t>Quintadinha (Petropolis)</t>
  </si>
  <si>
    <t>Pq. Martinho (Lote XV)</t>
  </si>
  <si>
    <t xml:space="preserve">Vila do João / Bonsucesso </t>
  </si>
  <si>
    <t>Itahangá / Rio das Pedras</t>
  </si>
  <si>
    <t>Maré / Bonsucesso</t>
  </si>
  <si>
    <t>Benfica / M. da Graça</t>
  </si>
  <si>
    <t>Taquara / Merck</t>
  </si>
  <si>
    <t>Barra Mansa</t>
  </si>
  <si>
    <t>Belford Roxo</t>
  </si>
  <si>
    <t>Macaé</t>
  </si>
  <si>
    <t>São João de Meriti</t>
  </si>
  <si>
    <t>Volta Redonda</t>
  </si>
  <si>
    <t>Quantidade de PDVs</t>
  </si>
  <si>
    <t>Contador</t>
  </si>
  <si>
    <t>Ticket Médio</t>
  </si>
  <si>
    <t>Transações (quantidade de transações)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</si>
</sst>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;\(#,##0\)"/>
    <numFmt numFmtId="165" formatCode="0.0%"/>
  </numFmts>
  <fonts count="15" x14ac:knownFonts="1">
    <font>
      <sz val="10"/>
      <color theme="1"/>
      <name val="Verdana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11"/>
      <color theme="1"/>
      <name val="Arial"/>
      <family val="2"/>
    </font>
    <font>
      <b/>
      <sz val="10"/>
      <color theme="1"/>
      <name val="Verdana"/>
      <family val="2"/>
    </font>
    <font>
      <sz val="16"/>
      <color theme="1"/>
      <name val="Arial"/>
      <family val="2"/>
    </font>
    <font>
      <b/>
      <i/>
      <sz val="11"/>
      <color theme="1"/>
      <name val="Arial"/>
      <family val="2"/>
    </font>
    <font>
      <sz val="8"/>
      <name val="Verdana"/>
      <family val="2"/>
    </font>
    <font>
      <b/>
      <sz val="24"/>
      <color theme="1"/>
      <name val="Verdana"/>
      <family val="2"/>
    </font>
    <font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rgb="FF70929F"/>
      </top>
      <bottom style="medium">
        <color rgb="FF70929F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0929F"/>
      </bottom>
      <diagonal/>
    </border>
  </borders>
  <cellStyleXfs count="4">
    <xf numFmtId="0" fontId="0" fillId="0" borderId="0"/>
    <xf numFmtId="0" fontId="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horizontal="right" vertical="center" wrapText="1"/>
    </xf>
    <xf numFmtId="0" fontId="7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164" fontId="6" fillId="0" borderId="2" xfId="1" applyNumberFormat="1" applyFont="1" applyBorder="1" applyAlignment="1">
      <alignment horizontal="righ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right" vertical="center" wrapText="1"/>
    </xf>
    <xf numFmtId="0" fontId="7" fillId="0" borderId="3" xfId="1" applyFont="1" applyBorder="1" applyAlignment="1">
      <alignment horizontal="center" vertical="center" wrapText="1"/>
    </xf>
    <xf numFmtId="43" fontId="6" fillId="0" borderId="1" xfId="2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3" fillId="0" borderId="0" xfId="2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3" borderId="4" xfId="0" applyFont="1" applyFill="1" applyBorder="1" applyAlignment="1">
      <alignment horizontal="right" vertical="center" wrapText="1"/>
    </xf>
    <xf numFmtId="0" fontId="9" fillId="3" borderId="5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5" fillId="0" borderId="1" xfId="1" applyFont="1" applyBorder="1" applyAlignment="1">
      <alignment horizontal="left" vertical="center" wrapText="1"/>
    </xf>
    <xf numFmtId="164" fontId="6" fillId="0" borderId="2" xfId="1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applyFont="1" applyBorder="1" applyAlignment="1">
      <alignment horizontal="righ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14" fontId="3" fillId="4" borderId="0" xfId="0" applyNumberFormat="1" applyFont="1" applyFill="1" applyAlignment="1">
      <alignment vertical="center"/>
    </xf>
    <xf numFmtId="14" fontId="3" fillId="4" borderId="0" xfId="0" applyNumberFormat="1" applyFont="1" applyFill="1" applyAlignment="1">
      <alignment horizontal="right" vertical="center"/>
    </xf>
    <xf numFmtId="0" fontId="14" fillId="4" borderId="0" xfId="0" applyFont="1" applyFill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65" fontId="0" fillId="0" borderId="0" xfId="3" applyNumberFormat="1" applyFont="1" applyAlignment="1">
      <alignment horizontal="center"/>
    </xf>
    <xf numFmtId="14" fontId="0" fillId="0" borderId="0" xfId="0" applyNumberFormat="1"/>
    <xf numFmtId="43" fontId="0" fillId="0" borderId="4" xfId="2" applyFont="1" applyBorder="1" applyAlignment="1">
      <alignment horizontal="center" vertical="center"/>
    </xf>
    <xf numFmtId="43" fontId="0" fillId="5" borderId="4" xfId="2" applyFont="1" applyFill="1" applyBorder="1" applyAlignment="1">
      <alignment horizontal="center" vertical="center"/>
    </xf>
    <xf numFmtId="10" fontId="0" fillId="0" borderId="0" xfId="3" applyNumberFormat="1" applyFont="1" applyAlignment="1">
      <alignment horizontal="center"/>
    </xf>
    <xf numFmtId="43" fontId="0" fillId="0" borderId="0" xfId="2" applyFont="1" applyAlignment="1">
      <alignment horizontal="center"/>
    </xf>
    <xf numFmtId="10" fontId="0" fillId="0" borderId="0" xfId="3" applyNumberFormat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164" fontId="6" fillId="0" borderId="2" xfId="1" applyNumberFormat="1" applyFont="1" applyBorder="1" applyAlignment="1">
      <alignment horizontal="left" vertical="center"/>
    </xf>
    <xf numFmtId="164" fontId="6" fillId="0" borderId="2" xfId="1" applyNumberFormat="1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43" fontId="6" fillId="0" borderId="2" xfId="2" applyFont="1" applyBorder="1" applyAlignment="1">
      <alignment horizontal="right" vertical="center" wrapText="1"/>
    </xf>
    <xf numFmtId="0" fontId="13" fillId="0" borderId="0" xfId="0" applyFont="1" applyAlignment="1">
      <alignment horizontal="left" vertical="center"/>
    </xf>
    <xf numFmtId="0" fontId="5" fillId="0" borderId="1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6" fillId="2" borderId="3" xfId="1" applyFont="1" applyFill="1" applyBorder="1" applyAlignment="1">
      <alignment horizontal="righ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2" xfId="1" applyNumberFormat="1" applyFont="1" applyFill="1" applyBorder="1" applyAlignment="1">
      <alignment horizontal="right" vertical="center" wrapText="1"/>
    </xf>
    <xf numFmtId="43" fontId="6" fillId="2" borderId="2" xfId="2" applyFont="1" applyFill="1" applyBorder="1" applyAlignment="1">
      <alignment horizontal="right" vertical="center" wrapText="1"/>
    </xf>
    <xf numFmtId="0" fontId="3" fillId="2" borderId="0" xfId="0" applyFont="1" applyFill="1" applyAlignment="1">
      <alignment vertical="center"/>
    </xf>
  </cellXfs>
  <cellStyles count="4">
    <cellStyle name="Normal" xfId="0" builtinId="0"/>
    <cellStyle name="Normal 2" xfId="1" xr:uid="{8726994E-C555-4480-B733-9EDA273E5295}"/>
    <cellStyle name="Porcentagem" xfId="3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7</xdr:row>
      <xdr:rowOff>57150</xdr:rowOff>
    </xdr:from>
    <xdr:to>
      <xdr:col>2</xdr:col>
      <xdr:colOff>83235</xdr:colOff>
      <xdr:row>8</xdr:row>
      <xdr:rowOff>95250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4B661C-ED76-4C2D-83BC-E04785B2A97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57150"/>
          <a:ext cx="676275" cy="409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114300</xdr:rowOff>
    </xdr:from>
    <xdr:to>
      <xdr:col>1</xdr:col>
      <xdr:colOff>958850</xdr:colOff>
      <xdr:row>3</xdr:row>
      <xdr:rowOff>847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BD8B78-A3DB-49BA-A7C9-369D2FE4C60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114300"/>
          <a:ext cx="787400" cy="4135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196850</xdr:colOff>
      <xdr:row>2</xdr:row>
      <xdr:rowOff>115147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B430F7-DC3F-41D9-BA1F-668B33A1F14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57150"/>
          <a:ext cx="787400" cy="413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2D7D-844D-4238-A45E-277550B277C5}">
  <dimension ref="C1:Q42"/>
  <sheetViews>
    <sheetView showGridLines="0" zoomScale="60" zoomScaleNormal="60" workbookViewId="0">
      <pane xSplit="3" ySplit="11" topLeftCell="D12" activePane="bottomRight" state="frozen"/>
      <selection pane="topRight"/>
      <selection pane="bottomLeft"/>
      <selection pane="bottomRight" activeCell="C34" sqref="C34"/>
    </sheetView>
  </sheetViews>
  <sheetFormatPr defaultRowHeight="13.5" x14ac:dyDescent="0.3"/>
  <cols>
    <col min="1" max="1" width="3.921875" customWidth="1"/>
    <col min="2" max="2" width="4.84375" customWidth="1"/>
    <col min="3" max="3" width="37.53515625" customWidth="1"/>
    <col min="4" max="14" width="15.07421875" style="22" bestFit="1" customWidth="1"/>
    <col min="15" max="15" width="16.61328125" style="22" bestFit="1" customWidth="1"/>
    <col min="16" max="16" width="17.765625" customWidth="1"/>
    <col min="17" max="17" width="7.15234375" bestFit="1" customWidth="1"/>
  </cols>
  <sheetData>
    <row r="1" spans="3:16" hidden="1" x14ac:dyDescent="0.3"/>
    <row r="2" spans="3:16" hidden="1" x14ac:dyDescent="0.3"/>
    <row r="3" spans="3:16" hidden="1" x14ac:dyDescent="0.3"/>
    <row r="4" spans="3:16" hidden="1" x14ac:dyDescent="0.3"/>
    <row r="5" spans="3:16" hidden="1" x14ac:dyDescent="0.3"/>
    <row r="6" spans="3:16" hidden="1" x14ac:dyDescent="0.3"/>
    <row r="7" spans="3:16" hidden="1" x14ac:dyDescent="0.3"/>
    <row r="8" spans="3:16" ht="30.5" x14ac:dyDescent="0.3">
      <c r="C8" s="47" t="s">
        <v>0</v>
      </c>
      <c r="D8" s="47"/>
    </row>
    <row r="9" spans="3:16" x14ac:dyDescent="0.3">
      <c r="C9" s="28" t="s">
        <v>1</v>
      </c>
      <c r="D9" s="28"/>
    </row>
    <row r="10" spans="3:16" ht="20" x14ac:dyDescent="0.3">
      <c r="C10" s="14"/>
      <c r="D10" s="14"/>
    </row>
    <row r="11" spans="3:16" x14ac:dyDescent="0.3">
      <c r="D11" s="21" t="s">
        <v>2</v>
      </c>
      <c r="E11" s="21" t="s">
        <v>3</v>
      </c>
      <c r="F11" s="21" t="s">
        <v>4</v>
      </c>
      <c r="G11" s="21" t="s">
        <v>5</v>
      </c>
      <c r="H11" s="21" t="s">
        <v>6</v>
      </c>
      <c r="I11" s="21" t="s">
        <v>7</v>
      </c>
      <c r="J11" s="21" t="s">
        <v>8</v>
      </c>
      <c r="K11" s="21" t="s">
        <v>9</v>
      </c>
      <c r="L11" s="21" t="s">
        <v>10</v>
      </c>
      <c r="M11" s="21" t="s">
        <v>11</v>
      </c>
      <c r="N11" s="21" t="s">
        <v>12</v>
      </c>
      <c r="O11" s="21" t="s">
        <v>13</v>
      </c>
      <c r="P11" s="21" t="s">
        <v>43</v>
      </c>
    </row>
    <row r="12" spans="3:16" ht="33.4" customHeight="1" x14ac:dyDescent="0.3">
      <c r="C12" s="16" t="s">
        <v>14</v>
      </c>
      <c r="D12" s="34">
        <v>702564474.55007005</v>
      </c>
      <c r="E12" s="34">
        <v>727740806.53008258</v>
      </c>
      <c r="F12" s="34">
        <v>808815818.14005888</v>
      </c>
      <c r="G12" s="34">
        <v>721692115.67004061</v>
      </c>
      <c r="H12" s="34">
        <v>771841826.66003096</v>
      </c>
      <c r="I12" s="34">
        <v>715239321.2600354</v>
      </c>
      <c r="J12" s="34">
        <v>758679489.39001489</v>
      </c>
      <c r="K12" s="34">
        <v>857678987.57002938</v>
      </c>
      <c r="L12" s="34">
        <v>812721802.65001845</v>
      </c>
      <c r="M12" s="34">
        <v>825771968.35997581</v>
      </c>
      <c r="N12" s="34">
        <v>808117846.40002251</v>
      </c>
      <c r="O12" s="34">
        <v>1003050478.9000317</v>
      </c>
      <c r="P12" s="34">
        <f>SUM(D12:O12)</f>
        <v>9513914936.08041</v>
      </c>
    </row>
    <row r="13" spans="3:16" ht="33.4" customHeight="1" x14ac:dyDescent="0.3">
      <c r="C13" s="16" t="s">
        <v>15</v>
      </c>
      <c r="D13" s="33">
        <v>363394964.52161509</v>
      </c>
      <c r="E13" s="33">
        <v>374583626.88164848</v>
      </c>
      <c r="F13" s="33">
        <v>418860744.08165544</v>
      </c>
      <c r="G13" s="33">
        <v>390227648.74159598</v>
      </c>
      <c r="H13" s="33">
        <v>420158686.65166652</v>
      </c>
      <c r="I13" s="33">
        <v>403425402.45182878</v>
      </c>
      <c r="J13" s="33">
        <v>411053110.46136403</v>
      </c>
      <c r="K13" s="33">
        <v>482792188.7915706</v>
      </c>
      <c r="L13" s="33">
        <v>473475943.38175797</v>
      </c>
      <c r="M13" s="33">
        <v>478951311.82170254</v>
      </c>
      <c r="N13" s="33">
        <v>460522699.28164142</v>
      </c>
      <c r="O13" s="33">
        <v>568976257.89280593</v>
      </c>
      <c r="P13" s="33">
        <f>SUM(D13:O13)</f>
        <v>5246422584.9608526</v>
      </c>
    </row>
    <row r="14" spans="3:16" ht="31" customHeight="1" x14ac:dyDescent="0.3">
      <c r="C14" s="15" t="s">
        <v>16</v>
      </c>
      <c r="D14" s="30">
        <v>133</v>
      </c>
      <c r="E14" s="30">
        <v>133</v>
      </c>
      <c r="F14" s="30">
        <v>133</v>
      </c>
      <c r="G14" s="30">
        <v>133</v>
      </c>
      <c r="H14" s="30">
        <v>133</v>
      </c>
      <c r="I14" s="30">
        <v>133</v>
      </c>
      <c r="J14" s="30">
        <v>133</v>
      </c>
      <c r="K14" s="30">
        <v>134</v>
      </c>
      <c r="L14" s="30">
        <v>135</v>
      </c>
      <c r="M14" s="30">
        <v>137</v>
      </c>
      <c r="N14" s="30">
        <v>138</v>
      </c>
      <c r="O14" s="30">
        <v>143</v>
      </c>
      <c r="P14" s="30">
        <f>O14</f>
        <v>143</v>
      </c>
    </row>
    <row r="15" spans="3:16" x14ac:dyDescent="0.3">
      <c r="P15" s="22"/>
    </row>
    <row r="16" spans="3:16" x14ac:dyDescent="0.3">
      <c r="D16" s="21" t="s">
        <v>2</v>
      </c>
      <c r="E16" s="21" t="s">
        <v>3</v>
      </c>
      <c r="F16" s="21" t="s">
        <v>4</v>
      </c>
      <c r="G16" s="21" t="s">
        <v>5</v>
      </c>
      <c r="H16" s="21" t="s">
        <v>6</v>
      </c>
      <c r="I16" s="21" t="s">
        <v>7</v>
      </c>
      <c r="J16" s="21" t="s">
        <v>8</v>
      </c>
      <c r="K16" s="21" t="s">
        <v>9</v>
      </c>
      <c r="L16" s="21" t="s">
        <v>10</v>
      </c>
      <c r="M16" s="21" t="s">
        <v>11</v>
      </c>
      <c r="N16" s="21" t="s">
        <v>12</v>
      </c>
      <c r="O16" s="21" t="s">
        <v>13</v>
      </c>
      <c r="P16" s="21" t="s">
        <v>43</v>
      </c>
    </row>
    <row r="17" spans="3:17" ht="31" customHeight="1" x14ac:dyDescent="0.3">
      <c r="C17" s="15" t="s">
        <v>17</v>
      </c>
      <c r="D17" s="34">
        <v>845531261.31000006</v>
      </c>
      <c r="E17" s="34">
        <v>823996036.14999998</v>
      </c>
      <c r="F17" s="34">
        <v>893061178.31000006</v>
      </c>
      <c r="G17" s="34">
        <v>859002660.13999987</v>
      </c>
      <c r="H17" s="34">
        <v>896896265.7900002</v>
      </c>
      <c r="I17" s="34">
        <v>831743433.51999998</v>
      </c>
      <c r="J17" s="34">
        <v>864056436.26999998</v>
      </c>
      <c r="K17" s="34">
        <v>957065919.61000001</v>
      </c>
      <c r="L17" s="34">
        <v>908168855.07000005</v>
      </c>
      <c r="M17" s="34">
        <v>910924465.1500001</v>
      </c>
      <c r="N17" s="34">
        <v>887133205.86000001</v>
      </c>
      <c r="O17" s="34">
        <v>1061225318.6400001</v>
      </c>
      <c r="P17" s="34">
        <f>SUM(D17:O17)</f>
        <v>10738805035.82</v>
      </c>
      <c r="Q17" s="37"/>
    </row>
    <row r="18" spans="3:17" ht="33.4" customHeight="1" x14ac:dyDescent="0.3">
      <c r="C18" s="16" t="s">
        <v>18</v>
      </c>
      <c r="D18" s="33">
        <v>450351712.47037256</v>
      </c>
      <c r="E18" s="33">
        <v>434886634.15722948</v>
      </c>
      <c r="F18" s="33">
        <v>477264687.74254769</v>
      </c>
      <c r="G18" s="33">
        <v>468824280.27533931</v>
      </c>
      <c r="H18" s="33">
        <v>491898556.03684068</v>
      </c>
      <c r="I18" s="33">
        <v>459790324.3978914</v>
      </c>
      <c r="J18" s="33">
        <v>463756630.85645419</v>
      </c>
      <c r="K18" s="33">
        <v>552575191.20953095</v>
      </c>
      <c r="L18" s="33">
        <v>543744291.92360425</v>
      </c>
      <c r="M18" s="33">
        <v>535361229.15960491</v>
      </c>
      <c r="N18" s="33">
        <v>523474453.44245458</v>
      </c>
      <c r="O18" s="33">
        <v>625657481.97957373</v>
      </c>
      <c r="P18" s="33">
        <f>SUM(D18:O18)</f>
        <v>6027585473.6514435</v>
      </c>
      <c r="Q18" s="37"/>
    </row>
    <row r="19" spans="3:17" ht="29.9" customHeight="1" x14ac:dyDescent="0.3">
      <c r="C19" s="15" t="s">
        <v>16</v>
      </c>
      <c r="D19" s="30">
        <v>144</v>
      </c>
      <c r="E19" s="30">
        <v>144</v>
      </c>
      <c r="F19" s="30">
        <v>144</v>
      </c>
      <c r="G19" s="30">
        <v>144</v>
      </c>
      <c r="H19" s="30">
        <v>144</v>
      </c>
      <c r="I19" s="30">
        <v>145</v>
      </c>
      <c r="J19" s="30">
        <v>145</v>
      </c>
      <c r="K19" s="30">
        <v>146</v>
      </c>
      <c r="L19" s="30">
        <v>146</v>
      </c>
      <c r="M19" s="30">
        <v>147</v>
      </c>
      <c r="N19" s="30">
        <v>148</v>
      </c>
      <c r="O19" s="30">
        <v>152</v>
      </c>
      <c r="P19" s="30">
        <f>O19</f>
        <v>152</v>
      </c>
    </row>
    <row r="20" spans="3:17" x14ac:dyDescent="0.3">
      <c r="P20" s="22"/>
    </row>
    <row r="21" spans="3:17" x14ac:dyDescent="0.3">
      <c r="D21" s="21" t="s">
        <v>2</v>
      </c>
      <c r="E21" s="21" t="s">
        <v>3</v>
      </c>
      <c r="F21" s="21" t="s">
        <v>4</v>
      </c>
      <c r="G21" s="21" t="s">
        <v>5</v>
      </c>
      <c r="H21" s="21" t="s">
        <v>6</v>
      </c>
      <c r="I21" s="21" t="s">
        <v>7</v>
      </c>
      <c r="J21" s="21" t="s">
        <v>8</v>
      </c>
      <c r="K21" s="21" t="s">
        <v>9</v>
      </c>
      <c r="L21" s="21" t="s">
        <v>10</v>
      </c>
      <c r="M21" s="21" t="s">
        <v>11</v>
      </c>
      <c r="N21" s="21" t="s">
        <v>12</v>
      </c>
      <c r="O21" s="21" t="s">
        <v>13</v>
      </c>
      <c r="P21" s="21" t="s">
        <v>43</v>
      </c>
    </row>
    <row r="22" spans="3:17" ht="29.5" customHeight="1" x14ac:dyDescent="0.3">
      <c r="C22" s="15" t="s">
        <v>19</v>
      </c>
      <c r="D22" s="34">
        <f>D17*102.5%</f>
        <v>866669542.84274995</v>
      </c>
      <c r="E22" s="34">
        <f t="shared" ref="E22:O22" si="0">E17*102.5%</f>
        <v>844595937.05374992</v>
      </c>
      <c r="F22" s="34">
        <f t="shared" si="0"/>
        <v>915387707.76775002</v>
      </c>
      <c r="G22" s="34">
        <f t="shared" si="0"/>
        <v>880477726.64349973</v>
      </c>
      <c r="H22" s="34">
        <f t="shared" si="0"/>
        <v>919318672.43475008</v>
      </c>
      <c r="I22" s="34">
        <f t="shared" si="0"/>
        <v>852537019.35799992</v>
      </c>
      <c r="J22" s="34">
        <f t="shared" si="0"/>
        <v>885657847.17674994</v>
      </c>
      <c r="K22" s="34">
        <f t="shared" si="0"/>
        <v>980992567.60024989</v>
      </c>
      <c r="L22" s="34">
        <f t="shared" si="0"/>
        <v>930873076.44674993</v>
      </c>
      <c r="M22" s="34">
        <f t="shared" si="0"/>
        <v>933697576.77875006</v>
      </c>
      <c r="N22" s="34">
        <f t="shared" si="0"/>
        <v>909311536.00649989</v>
      </c>
      <c r="O22" s="34">
        <f t="shared" si="0"/>
        <v>1087755951.6059999</v>
      </c>
      <c r="P22" s="34">
        <f>SUM(D22:O22)</f>
        <v>11007275161.7155</v>
      </c>
      <c r="Q22" s="37"/>
    </row>
    <row r="23" spans="3:17" ht="33.4" customHeight="1" x14ac:dyDescent="0.3">
      <c r="C23" s="16" t="s">
        <v>20</v>
      </c>
      <c r="D23" s="34">
        <f>D18*102.5%</f>
        <v>461610505.28213185</v>
      </c>
      <c r="E23" s="34">
        <f t="shared" ref="E23:O23" si="1">E18*102.5%</f>
        <v>445758800.01116019</v>
      </c>
      <c r="F23" s="34">
        <f t="shared" si="1"/>
        <v>489196304.93611133</v>
      </c>
      <c r="G23" s="34">
        <f t="shared" si="1"/>
        <v>480544887.28222275</v>
      </c>
      <c r="H23" s="34">
        <f t="shared" si="1"/>
        <v>504196019.93776166</v>
      </c>
      <c r="I23" s="34">
        <f t="shared" si="1"/>
        <v>471285082.50783867</v>
      </c>
      <c r="J23" s="34">
        <f t="shared" si="1"/>
        <v>475350546.62786549</v>
      </c>
      <c r="K23" s="34">
        <f t="shared" si="1"/>
        <v>566389570.98976922</v>
      </c>
      <c r="L23" s="34">
        <f t="shared" si="1"/>
        <v>557337899.22169435</v>
      </c>
      <c r="M23" s="34">
        <f t="shared" si="1"/>
        <v>548745259.88859499</v>
      </c>
      <c r="N23" s="34">
        <f t="shared" si="1"/>
        <v>536561314.77851588</v>
      </c>
      <c r="O23" s="34">
        <f t="shared" si="1"/>
        <v>641298919.02906299</v>
      </c>
      <c r="P23" s="34">
        <f>SUM(D23:O23)</f>
        <v>6178275110.4927292</v>
      </c>
      <c r="Q23" s="37"/>
    </row>
    <row r="24" spans="3:17" ht="28.5" customHeight="1" x14ac:dyDescent="0.3">
      <c r="C24" s="15" t="s">
        <v>16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44">
        <v>157</v>
      </c>
    </row>
    <row r="27" spans="3:17" x14ac:dyDescent="0.3">
      <c r="F27" s="31"/>
    </row>
    <row r="28" spans="3:17" x14ac:dyDescent="0.3">
      <c r="F28" s="31"/>
    </row>
    <row r="30" spans="3:17" x14ac:dyDescent="0.3">
      <c r="C30" s="32"/>
      <c r="D30" s="35"/>
      <c r="E30" s="35"/>
      <c r="F30" s="35"/>
      <c r="G30" s="35"/>
      <c r="H30" s="35"/>
      <c r="J30" s="35"/>
      <c r="K30" s="35"/>
      <c r="L30" s="35"/>
      <c r="M30" s="35"/>
      <c r="N30" s="35"/>
      <c r="O30" s="35"/>
      <c r="P30" s="35"/>
    </row>
    <row r="31" spans="3:17" x14ac:dyDescent="0.3">
      <c r="C31" s="32"/>
      <c r="D31" s="35"/>
      <c r="E31" s="35"/>
      <c r="F31" s="35"/>
      <c r="G31" s="35"/>
      <c r="H31" s="35"/>
      <c r="J31" s="35"/>
      <c r="K31" s="35"/>
      <c r="L31" s="35"/>
      <c r="M31" s="35"/>
      <c r="N31" s="35"/>
      <c r="O31" s="35"/>
      <c r="P31" s="35"/>
    </row>
    <row r="32" spans="3:17" x14ac:dyDescent="0.3">
      <c r="C32" s="32"/>
      <c r="E32" s="36"/>
      <c r="F32" s="35"/>
      <c r="G32" s="35"/>
    </row>
    <row r="33" spans="3:7" x14ac:dyDescent="0.3">
      <c r="C33" s="32"/>
      <c r="E33" s="36"/>
      <c r="F33" s="35"/>
      <c r="G33" s="35"/>
    </row>
    <row r="34" spans="3:7" x14ac:dyDescent="0.3">
      <c r="C34" s="32"/>
      <c r="E34" s="36"/>
      <c r="F34" s="35"/>
      <c r="G34" s="35"/>
    </row>
    <row r="35" spans="3:7" x14ac:dyDescent="0.3">
      <c r="C35" s="32"/>
      <c r="E35" s="36"/>
      <c r="F35" s="35"/>
      <c r="G35" s="35"/>
    </row>
    <row r="36" spans="3:7" x14ac:dyDescent="0.3">
      <c r="C36" s="32"/>
      <c r="E36" s="36"/>
      <c r="F36" s="35"/>
      <c r="G36" s="35"/>
    </row>
    <row r="37" spans="3:7" x14ac:dyDescent="0.3">
      <c r="C37" s="32"/>
      <c r="E37" s="36"/>
      <c r="F37" s="35"/>
      <c r="G37" s="35"/>
    </row>
    <row r="38" spans="3:7" x14ac:dyDescent="0.3">
      <c r="C38" s="32"/>
      <c r="E38" s="36"/>
    </row>
    <row r="39" spans="3:7" x14ac:dyDescent="0.3">
      <c r="C39" s="32"/>
      <c r="E39" s="36"/>
    </row>
    <row r="40" spans="3:7" x14ac:dyDescent="0.3">
      <c r="C40" s="32"/>
      <c r="E40" s="36"/>
    </row>
    <row r="41" spans="3:7" x14ac:dyDescent="0.3">
      <c r="C41" s="32"/>
      <c r="E41" s="36"/>
    </row>
    <row r="42" spans="3:7" x14ac:dyDescent="0.3">
      <c r="E42" s="36"/>
    </row>
  </sheetData>
  <mergeCells count="1">
    <mergeCell ref="C8:D8"/>
  </mergeCells>
  <phoneticPr fontId="12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4D61-C8C4-4606-AB51-730B52133A7C}">
  <dimension ref="B5:P135"/>
  <sheetViews>
    <sheetView showGridLines="0" tabSelected="1" zoomScale="80" zoomScaleNormal="80" workbookViewId="0">
      <selection activeCell="G16" sqref="G16"/>
    </sheetView>
  </sheetViews>
  <sheetFormatPr defaultColWidth="9.4609375" defaultRowHeight="14" x14ac:dyDescent="0.3"/>
  <cols>
    <col min="1" max="1" width="1.765625" style="1" customWidth="1"/>
    <col min="2" max="2" width="15.61328125" style="1" customWidth="1"/>
    <col min="3" max="3" width="2" style="1" bestFit="1" customWidth="1"/>
    <col min="4" max="5" width="15.61328125" style="1" customWidth="1"/>
    <col min="6" max="6" width="10.15234375" style="1" bestFit="1" customWidth="1"/>
    <col min="7" max="7" width="15.61328125" style="1" customWidth="1"/>
    <col min="8" max="9" width="9.4609375" style="1"/>
    <col min="10" max="10" width="15.61328125" style="1" customWidth="1"/>
    <col min="11" max="11" width="2" style="1" bestFit="1" customWidth="1"/>
    <col min="12" max="13" width="15.61328125" style="1" customWidth="1"/>
    <col min="14" max="14" width="12.69140625" style="1" customWidth="1"/>
    <col min="15" max="15" width="10.07421875" style="1" bestFit="1" customWidth="1"/>
    <col min="16" max="16" width="13.61328125" style="1" bestFit="1" customWidth="1"/>
    <col min="17" max="16384" width="9.4609375" style="1"/>
  </cols>
  <sheetData>
    <row r="5" spans="2:16" ht="11.15" customHeight="1" thickBot="1" x14ac:dyDescent="0.35"/>
    <row r="6" spans="2:16" ht="20.149999999999999" customHeight="1" thickBot="1" x14ac:dyDescent="0.35">
      <c r="B6" s="48" t="s">
        <v>21</v>
      </c>
      <c r="C6" s="48"/>
      <c r="D6" s="48"/>
      <c r="E6" s="48"/>
      <c r="F6" s="45"/>
      <c r="J6" s="48" t="s">
        <v>22</v>
      </c>
      <c r="K6" s="48"/>
      <c r="L6" s="48"/>
      <c r="M6" s="48"/>
    </row>
    <row r="7" spans="2:16" ht="20.149999999999999" customHeight="1" x14ac:dyDescent="0.3">
      <c r="B7" s="49" t="s">
        <v>23</v>
      </c>
      <c r="C7" s="49"/>
      <c r="D7" s="49"/>
      <c r="E7" s="26">
        <v>45748</v>
      </c>
      <c r="F7" s="45"/>
      <c r="G7" s="2"/>
      <c r="J7" s="49" t="s">
        <v>23</v>
      </c>
      <c r="K7" s="49"/>
      <c r="L7" s="49"/>
      <c r="M7" s="26">
        <f>E7</f>
        <v>45748</v>
      </c>
    </row>
    <row r="8" spans="2:16" ht="20.149999999999999" customHeight="1" x14ac:dyDescent="0.3">
      <c r="B8" s="49" t="s">
        <v>24</v>
      </c>
      <c r="C8" s="49"/>
      <c r="D8" s="49"/>
      <c r="E8" s="27">
        <f>E7+(7*18)</f>
        <v>45874</v>
      </c>
      <c r="F8" s="45"/>
      <c r="G8" s="13"/>
      <c r="J8" s="49" t="s">
        <v>24</v>
      </c>
      <c r="K8" s="49"/>
      <c r="L8" s="49"/>
      <c r="M8" s="27">
        <f>E8</f>
        <v>45874</v>
      </c>
    </row>
    <row r="9" spans="2:16" ht="20.149999999999999" customHeight="1" x14ac:dyDescent="0.3">
      <c r="B9" s="49" t="s">
        <v>25</v>
      </c>
      <c r="C9" s="49"/>
      <c r="D9" s="49"/>
      <c r="E9" s="1">
        <v>10</v>
      </c>
      <c r="J9" s="49" t="s">
        <v>26</v>
      </c>
      <c r="K9" s="49"/>
      <c r="L9" s="49"/>
      <c r="M9" s="1">
        <v>100</v>
      </c>
    </row>
    <row r="10" spans="2:16" ht="20.149999999999999" customHeight="1" x14ac:dyDescent="0.3">
      <c r="B10" s="17"/>
      <c r="C10" s="17"/>
      <c r="D10" s="17"/>
      <c r="F10" s="2"/>
      <c r="J10" s="17"/>
      <c r="K10" s="17"/>
      <c r="L10" s="17"/>
    </row>
    <row r="11" spans="2:16" ht="20.149999999999999" customHeight="1" x14ac:dyDescent="0.3">
      <c r="J11" s="50" t="s">
        <v>27</v>
      </c>
      <c r="K11" s="50"/>
      <c r="L11" s="50"/>
      <c r="M11" s="50"/>
      <c r="N11" s="50"/>
      <c r="O11" s="50"/>
      <c r="P11" s="50"/>
    </row>
    <row r="12" spans="2:16" ht="20.149999999999999" customHeight="1" thickBot="1" x14ac:dyDescent="0.35">
      <c r="B12" s="12" t="s">
        <v>28</v>
      </c>
      <c r="J12" s="51"/>
      <c r="K12" s="51"/>
      <c r="L12" s="51"/>
      <c r="M12" s="51"/>
      <c r="N12" s="51"/>
      <c r="O12" s="51"/>
      <c r="P12" s="51"/>
    </row>
    <row r="13" spans="2:16" ht="41" customHeight="1" thickBot="1" x14ac:dyDescent="0.35">
      <c r="B13" s="48" t="s">
        <v>29</v>
      </c>
      <c r="C13" s="48"/>
      <c r="D13" s="48"/>
      <c r="E13" s="3" t="s">
        <v>370</v>
      </c>
      <c r="F13" s="3" t="s">
        <v>369</v>
      </c>
      <c r="G13" s="3" t="s">
        <v>30</v>
      </c>
      <c r="J13" s="48" t="s">
        <v>31</v>
      </c>
      <c r="K13" s="48"/>
      <c r="L13" s="48"/>
      <c r="M13" s="3" t="s">
        <v>32</v>
      </c>
      <c r="N13" s="3" t="s">
        <v>370</v>
      </c>
      <c r="O13" s="3" t="s">
        <v>369</v>
      </c>
      <c r="P13" s="3" t="s">
        <v>30</v>
      </c>
    </row>
    <row r="14" spans="2:16" ht="20.149999999999999" customHeight="1" x14ac:dyDescent="0.3">
      <c r="B14" s="4">
        <v>0</v>
      </c>
      <c r="C14" s="5" t="s">
        <v>33</v>
      </c>
      <c r="D14" s="6">
        <f>B14+$E$9-0.01</f>
        <v>9.99</v>
      </c>
      <c r="E14" s="7">
        <v>4929843</v>
      </c>
      <c r="F14" s="46">
        <v>6</v>
      </c>
      <c r="G14" s="46">
        <v>29589639.789999999</v>
      </c>
      <c r="J14" s="4">
        <v>0</v>
      </c>
      <c r="K14" s="5" t="s">
        <v>33</v>
      </c>
      <c r="L14" s="6">
        <f>J14+($E$9*10)-0.01</f>
        <v>99.99</v>
      </c>
      <c r="M14" s="7">
        <v>338002</v>
      </c>
      <c r="N14" s="7">
        <v>471089</v>
      </c>
      <c r="O14" s="46">
        <v>51.05</v>
      </c>
      <c r="P14" s="46">
        <v>17254681.84</v>
      </c>
    </row>
    <row r="15" spans="2:16" ht="20.149999999999999" customHeight="1" x14ac:dyDescent="0.3">
      <c r="B15" s="9">
        <f>D14+0.01</f>
        <v>10</v>
      </c>
      <c r="C15" s="10" t="str">
        <f t="shared" ref="C15:C78" si="0">C14</f>
        <v>a</v>
      </c>
      <c r="D15" s="8">
        <f>D14+$E$9</f>
        <v>19.990000000000002</v>
      </c>
      <c r="E15" s="7">
        <v>5620551</v>
      </c>
      <c r="F15" s="46">
        <v>15.02</v>
      </c>
      <c r="G15" s="46">
        <v>84420042.430000007</v>
      </c>
      <c r="J15" s="9">
        <f>L14+0.01</f>
        <v>100</v>
      </c>
      <c r="K15" s="10" t="str">
        <f t="shared" ref="K15:K78" si="1">K14</f>
        <v>a</v>
      </c>
      <c r="L15" s="8">
        <f>J15+($E$9*10)-0.01</f>
        <v>199.99</v>
      </c>
      <c r="M15" s="7">
        <v>240305</v>
      </c>
      <c r="N15" s="7">
        <v>574696</v>
      </c>
      <c r="O15" s="46">
        <v>146.34</v>
      </c>
      <c r="P15" s="46">
        <v>35165884.810000002</v>
      </c>
    </row>
    <row r="16" spans="2:16" ht="20.149999999999999" customHeight="1" x14ac:dyDescent="0.3">
      <c r="B16" s="9">
        <f t="shared" ref="B16:B79" si="2">D15+0.01</f>
        <v>20.000000000000004</v>
      </c>
      <c r="C16" s="10" t="str">
        <f t="shared" si="0"/>
        <v>a</v>
      </c>
      <c r="D16" s="8">
        <f t="shared" ref="D16:D79" si="3">D15+$E$9</f>
        <v>29.990000000000002</v>
      </c>
      <c r="E16" s="7">
        <v>4552189</v>
      </c>
      <c r="F16" s="46">
        <v>24.87</v>
      </c>
      <c r="G16" s="46">
        <v>113203585.83</v>
      </c>
      <c r="J16" s="9">
        <f t="shared" ref="J16:J79" si="4">L15+0.01</f>
        <v>200</v>
      </c>
      <c r="K16" s="10" t="str">
        <f t="shared" si="1"/>
        <v>a</v>
      </c>
      <c r="L16" s="8">
        <f t="shared" ref="L16:L79" si="5">J16+($E$9*10)-0.01</f>
        <v>299.99</v>
      </c>
      <c r="M16" s="7">
        <v>168863</v>
      </c>
      <c r="N16" s="7">
        <v>591795</v>
      </c>
      <c r="O16" s="46">
        <v>247.63</v>
      </c>
      <c r="P16" s="46">
        <v>41814858.93</v>
      </c>
    </row>
    <row r="17" spans="2:16" ht="20.149999999999999" customHeight="1" x14ac:dyDescent="0.3">
      <c r="B17" s="9">
        <f t="shared" si="2"/>
        <v>30.000000000000004</v>
      </c>
      <c r="C17" s="10" t="str">
        <f t="shared" si="0"/>
        <v>a</v>
      </c>
      <c r="D17" s="8">
        <f t="shared" si="3"/>
        <v>39.99</v>
      </c>
      <c r="E17" s="7">
        <v>3695250</v>
      </c>
      <c r="F17" s="46">
        <v>34.86</v>
      </c>
      <c r="G17" s="46">
        <v>128819753.04000001</v>
      </c>
      <c r="J17" s="9">
        <f t="shared" si="4"/>
        <v>300</v>
      </c>
      <c r="K17" s="10" t="str">
        <f t="shared" si="1"/>
        <v>a</v>
      </c>
      <c r="L17" s="8">
        <f t="shared" si="5"/>
        <v>399.99</v>
      </c>
      <c r="M17" s="7">
        <v>132111</v>
      </c>
      <c r="N17" s="7">
        <v>602948</v>
      </c>
      <c r="O17" s="46">
        <v>348.16</v>
      </c>
      <c r="P17" s="46">
        <v>45995757.270000003</v>
      </c>
    </row>
    <row r="18" spans="2:16" ht="20.149999999999999" customHeight="1" x14ac:dyDescent="0.3">
      <c r="B18" s="9">
        <f t="shared" si="2"/>
        <v>40</v>
      </c>
      <c r="C18" s="10" t="str">
        <f t="shared" si="0"/>
        <v>a</v>
      </c>
      <c r="D18" s="8">
        <f t="shared" si="3"/>
        <v>49.99</v>
      </c>
      <c r="E18" s="7">
        <v>3006878</v>
      </c>
      <c r="F18" s="46">
        <v>44.88</v>
      </c>
      <c r="G18" s="46">
        <v>134948892.84</v>
      </c>
      <c r="J18" s="9">
        <f t="shared" si="4"/>
        <v>400</v>
      </c>
      <c r="K18" s="10" t="str">
        <f t="shared" si="1"/>
        <v>a</v>
      </c>
      <c r="L18" s="8">
        <f t="shared" si="5"/>
        <v>499.99</v>
      </c>
      <c r="M18" s="7">
        <v>107992</v>
      </c>
      <c r="N18" s="7">
        <v>596750</v>
      </c>
      <c r="O18" s="46">
        <v>448.48</v>
      </c>
      <c r="P18" s="46">
        <v>48431883.390000001</v>
      </c>
    </row>
    <row r="19" spans="2:16" ht="20.149999999999999" customHeight="1" x14ac:dyDescent="0.3">
      <c r="B19" s="9">
        <f t="shared" si="2"/>
        <v>50</v>
      </c>
      <c r="C19" s="10" t="str">
        <f t="shared" si="0"/>
        <v>a</v>
      </c>
      <c r="D19" s="8">
        <f t="shared" si="3"/>
        <v>59.99</v>
      </c>
      <c r="E19" s="7">
        <v>2399454</v>
      </c>
      <c r="F19" s="46">
        <v>54.83</v>
      </c>
      <c r="G19" s="46">
        <v>131569886.94</v>
      </c>
      <c r="J19" s="9">
        <f t="shared" si="4"/>
        <v>500</v>
      </c>
      <c r="K19" s="10" t="str">
        <f t="shared" si="1"/>
        <v>a</v>
      </c>
      <c r="L19" s="8">
        <f t="shared" si="5"/>
        <v>599.99</v>
      </c>
      <c r="M19" s="7">
        <v>91382</v>
      </c>
      <c r="N19" s="7">
        <v>592786</v>
      </c>
      <c r="O19" s="46">
        <v>548.71</v>
      </c>
      <c r="P19" s="46">
        <v>50142339.57</v>
      </c>
    </row>
    <row r="20" spans="2:16" ht="20.149999999999999" customHeight="1" x14ac:dyDescent="0.3">
      <c r="B20" s="9">
        <f t="shared" si="2"/>
        <v>60</v>
      </c>
      <c r="C20" s="10" t="str">
        <f t="shared" si="0"/>
        <v>a</v>
      </c>
      <c r="D20" s="8">
        <f t="shared" si="3"/>
        <v>69.990000000000009</v>
      </c>
      <c r="E20" s="7">
        <v>1933921</v>
      </c>
      <c r="F20" s="46">
        <v>64.87</v>
      </c>
      <c r="G20" s="46">
        <v>125445545.39</v>
      </c>
      <c r="J20" s="9">
        <f t="shared" si="4"/>
        <v>600</v>
      </c>
      <c r="K20" s="10" t="str">
        <f t="shared" si="1"/>
        <v>a</v>
      </c>
      <c r="L20" s="8">
        <f t="shared" si="5"/>
        <v>699.99</v>
      </c>
      <c r="M20" s="7">
        <v>78599</v>
      </c>
      <c r="N20" s="7">
        <v>581416</v>
      </c>
      <c r="O20" s="46">
        <v>648.77</v>
      </c>
      <c r="P20" s="46">
        <v>50992816.890000001</v>
      </c>
    </row>
    <row r="21" spans="2:16" ht="20.149999999999999" customHeight="1" x14ac:dyDescent="0.3">
      <c r="B21" s="9">
        <f t="shared" si="2"/>
        <v>70.000000000000014</v>
      </c>
      <c r="C21" s="10" t="str">
        <f t="shared" si="0"/>
        <v>a</v>
      </c>
      <c r="D21" s="8">
        <f t="shared" si="3"/>
        <v>79.990000000000009</v>
      </c>
      <c r="E21" s="7">
        <v>1604999</v>
      </c>
      <c r="F21" s="46">
        <v>74.87</v>
      </c>
      <c r="G21" s="46">
        <v>120168040.03</v>
      </c>
      <c r="J21" s="9">
        <f t="shared" si="4"/>
        <v>700</v>
      </c>
      <c r="K21" s="10" t="str">
        <f t="shared" si="1"/>
        <v>a</v>
      </c>
      <c r="L21" s="8">
        <f t="shared" si="5"/>
        <v>799.99</v>
      </c>
      <c r="M21" s="7">
        <v>68044</v>
      </c>
      <c r="N21" s="7">
        <v>564396</v>
      </c>
      <c r="O21" s="46">
        <v>748.91</v>
      </c>
      <c r="P21" s="46">
        <v>50958995.009999998</v>
      </c>
    </row>
    <row r="22" spans="2:16" ht="20.149999999999999" customHeight="1" x14ac:dyDescent="0.3">
      <c r="B22" s="9">
        <f t="shared" si="2"/>
        <v>80.000000000000014</v>
      </c>
      <c r="C22" s="10" t="str">
        <f t="shared" si="0"/>
        <v>a</v>
      </c>
      <c r="D22" s="8">
        <f t="shared" si="3"/>
        <v>89.990000000000009</v>
      </c>
      <c r="E22" s="7">
        <v>1348159</v>
      </c>
      <c r="F22" s="46">
        <v>84.88</v>
      </c>
      <c r="G22" s="46">
        <v>114425509.23</v>
      </c>
      <c r="J22" s="9">
        <f t="shared" si="4"/>
        <v>800</v>
      </c>
      <c r="K22" s="10" t="str">
        <f t="shared" si="1"/>
        <v>a</v>
      </c>
      <c r="L22" s="8">
        <f t="shared" si="5"/>
        <v>899.99</v>
      </c>
      <c r="M22" s="7">
        <v>59781</v>
      </c>
      <c r="N22" s="7">
        <v>544678</v>
      </c>
      <c r="O22" s="46">
        <v>849.09</v>
      </c>
      <c r="P22" s="46">
        <v>50759493.990000002</v>
      </c>
    </row>
    <row r="23" spans="2:16" ht="20.149999999999999" customHeight="1" x14ac:dyDescent="0.3">
      <c r="B23" s="9">
        <f t="shared" si="2"/>
        <v>90.000000000000014</v>
      </c>
      <c r="C23" s="10" t="str">
        <f t="shared" si="0"/>
        <v>a</v>
      </c>
      <c r="D23" s="8">
        <f t="shared" si="3"/>
        <v>99.990000000000009</v>
      </c>
      <c r="E23" s="7">
        <v>1167540</v>
      </c>
      <c r="F23" s="46">
        <v>94.93</v>
      </c>
      <c r="G23" s="46">
        <v>110836632.09999999</v>
      </c>
      <c r="J23" s="9">
        <f t="shared" si="4"/>
        <v>900</v>
      </c>
      <c r="K23" s="10" t="str">
        <f t="shared" si="1"/>
        <v>a</v>
      </c>
      <c r="L23" s="8">
        <f t="shared" si="5"/>
        <v>999.99</v>
      </c>
      <c r="M23" s="7">
        <v>53303</v>
      </c>
      <c r="N23" s="7">
        <v>529815</v>
      </c>
      <c r="O23" s="46">
        <v>949.11</v>
      </c>
      <c r="P23" s="46">
        <v>50590513.579999998</v>
      </c>
    </row>
    <row r="24" spans="2:16" ht="20.149999999999999" customHeight="1" x14ac:dyDescent="0.3">
      <c r="B24" s="9">
        <f t="shared" si="2"/>
        <v>100.00000000000001</v>
      </c>
      <c r="C24" s="10" t="str">
        <f t="shared" si="0"/>
        <v>a</v>
      </c>
      <c r="D24" s="8">
        <f t="shared" si="3"/>
        <v>109.99000000000001</v>
      </c>
      <c r="E24" s="7">
        <v>964175</v>
      </c>
      <c r="F24" s="46">
        <v>104.83</v>
      </c>
      <c r="G24" s="46">
        <v>101074628.37</v>
      </c>
      <c r="J24" s="9">
        <f t="shared" si="4"/>
        <v>1000</v>
      </c>
      <c r="K24" s="10" t="str">
        <f t="shared" si="1"/>
        <v>a</v>
      </c>
      <c r="L24" s="8">
        <f t="shared" si="5"/>
        <v>1099.99</v>
      </c>
      <c r="M24" s="7">
        <v>47355</v>
      </c>
      <c r="N24" s="7">
        <v>508768</v>
      </c>
      <c r="O24" s="46">
        <v>1049.01</v>
      </c>
      <c r="P24" s="46">
        <v>49676085.5</v>
      </c>
    </row>
    <row r="25" spans="2:16" ht="20.149999999999999" customHeight="1" x14ac:dyDescent="0.3">
      <c r="B25" s="9">
        <f t="shared" si="2"/>
        <v>110.00000000000001</v>
      </c>
      <c r="C25" s="10" t="str">
        <f t="shared" si="0"/>
        <v>a</v>
      </c>
      <c r="D25" s="8">
        <f t="shared" si="3"/>
        <v>119.99000000000001</v>
      </c>
      <c r="E25" s="7">
        <v>815826</v>
      </c>
      <c r="F25" s="46">
        <v>114.89</v>
      </c>
      <c r="G25" s="46">
        <v>93732819.25</v>
      </c>
      <c r="J25" s="9">
        <f t="shared" si="4"/>
        <v>1100</v>
      </c>
      <c r="K25" s="10" t="str">
        <f t="shared" si="1"/>
        <v>a</v>
      </c>
      <c r="L25" s="8">
        <f t="shared" si="5"/>
        <v>1199.99</v>
      </c>
      <c r="M25" s="7">
        <v>43076</v>
      </c>
      <c r="N25" s="7">
        <v>492973</v>
      </c>
      <c r="O25" s="46">
        <v>1148.94</v>
      </c>
      <c r="P25" s="46">
        <v>49491834.359999999</v>
      </c>
    </row>
    <row r="26" spans="2:16" ht="20.149999999999999" customHeight="1" x14ac:dyDescent="0.3">
      <c r="B26" s="9">
        <f t="shared" si="2"/>
        <v>120.00000000000001</v>
      </c>
      <c r="C26" s="10" t="str">
        <f t="shared" si="0"/>
        <v>a</v>
      </c>
      <c r="D26" s="8">
        <f t="shared" si="3"/>
        <v>129.99</v>
      </c>
      <c r="E26" s="7">
        <v>700893</v>
      </c>
      <c r="F26" s="46">
        <v>124.89</v>
      </c>
      <c r="G26" s="46">
        <v>87533125.959999993</v>
      </c>
      <c r="J26" s="9">
        <f t="shared" si="4"/>
        <v>1200</v>
      </c>
      <c r="K26" s="10" t="str">
        <f t="shared" si="1"/>
        <v>a</v>
      </c>
      <c r="L26" s="8">
        <f t="shared" si="5"/>
        <v>1299.99</v>
      </c>
      <c r="M26" s="7">
        <v>38856</v>
      </c>
      <c r="N26" s="7">
        <v>474811</v>
      </c>
      <c r="O26" s="46">
        <v>1249.1300000000001</v>
      </c>
      <c r="P26" s="46">
        <v>48536375.93</v>
      </c>
    </row>
    <row r="27" spans="2:16" ht="20.149999999999999" customHeight="1" x14ac:dyDescent="0.3">
      <c r="B27" s="9">
        <f t="shared" si="2"/>
        <v>130</v>
      </c>
      <c r="C27" s="10" t="str">
        <f t="shared" si="0"/>
        <v>a</v>
      </c>
      <c r="D27" s="8">
        <f t="shared" si="3"/>
        <v>139.99</v>
      </c>
      <c r="E27" s="7">
        <v>610257</v>
      </c>
      <c r="F27" s="46">
        <v>134.9</v>
      </c>
      <c r="G27" s="46">
        <v>82323688.290000007</v>
      </c>
      <c r="J27" s="9">
        <f t="shared" si="4"/>
        <v>1300</v>
      </c>
      <c r="K27" s="10" t="str">
        <f t="shared" si="1"/>
        <v>a</v>
      </c>
      <c r="L27" s="8">
        <f t="shared" si="5"/>
        <v>1399.99</v>
      </c>
      <c r="M27" s="7">
        <v>34977</v>
      </c>
      <c r="N27" s="7">
        <v>451253</v>
      </c>
      <c r="O27" s="46">
        <v>1349.21</v>
      </c>
      <c r="P27" s="46">
        <v>47191177.009999998</v>
      </c>
    </row>
    <row r="28" spans="2:16" ht="20.149999999999999" customHeight="1" x14ac:dyDescent="0.3">
      <c r="B28" s="9">
        <f t="shared" si="2"/>
        <v>140</v>
      </c>
      <c r="C28" s="10" t="str">
        <f t="shared" si="0"/>
        <v>a</v>
      </c>
      <c r="D28" s="8">
        <f t="shared" si="3"/>
        <v>149.99</v>
      </c>
      <c r="E28" s="7">
        <v>540723</v>
      </c>
      <c r="F28" s="46">
        <v>144.91999999999999</v>
      </c>
      <c r="G28" s="46">
        <v>78362398.650000006</v>
      </c>
      <c r="J28" s="9">
        <f t="shared" si="4"/>
        <v>1400</v>
      </c>
      <c r="K28" s="10" t="str">
        <f t="shared" si="1"/>
        <v>a</v>
      </c>
      <c r="L28" s="8">
        <f t="shared" si="5"/>
        <v>1499.99</v>
      </c>
      <c r="M28" s="7">
        <v>32257</v>
      </c>
      <c r="N28" s="7">
        <v>438011</v>
      </c>
      <c r="O28" s="46">
        <v>1449.44</v>
      </c>
      <c r="P28" s="46">
        <v>46754483.380000003</v>
      </c>
    </row>
    <row r="29" spans="2:16" ht="20.149999999999999" customHeight="1" x14ac:dyDescent="0.3">
      <c r="B29" s="9">
        <f t="shared" si="2"/>
        <v>150</v>
      </c>
      <c r="C29" s="10" t="str">
        <f t="shared" si="0"/>
        <v>a</v>
      </c>
      <c r="D29" s="8">
        <f t="shared" si="3"/>
        <v>159.99</v>
      </c>
      <c r="E29" s="7">
        <v>474749</v>
      </c>
      <c r="F29" s="46">
        <v>154.88999999999999</v>
      </c>
      <c r="G29" s="46">
        <v>73533740.060000002</v>
      </c>
      <c r="J29" s="9">
        <f t="shared" si="4"/>
        <v>1500</v>
      </c>
      <c r="K29" s="10" t="str">
        <f t="shared" si="1"/>
        <v>a</v>
      </c>
      <c r="L29" s="8">
        <f t="shared" si="5"/>
        <v>1599.99</v>
      </c>
      <c r="M29" s="7">
        <v>29068</v>
      </c>
      <c r="N29" s="7">
        <v>415870</v>
      </c>
      <c r="O29" s="46">
        <v>1549.12</v>
      </c>
      <c r="P29" s="46">
        <v>45029774.539999999</v>
      </c>
    </row>
    <row r="30" spans="2:16" ht="20.149999999999999" customHeight="1" x14ac:dyDescent="0.3">
      <c r="B30" s="9">
        <f t="shared" si="2"/>
        <v>160</v>
      </c>
      <c r="C30" s="10" t="str">
        <f t="shared" si="0"/>
        <v>a</v>
      </c>
      <c r="D30" s="8">
        <f t="shared" si="3"/>
        <v>169.99</v>
      </c>
      <c r="E30" s="7">
        <v>416269</v>
      </c>
      <c r="F30" s="46">
        <v>164.9</v>
      </c>
      <c r="G30" s="46">
        <v>68641002.560000002</v>
      </c>
      <c r="J30" s="9">
        <f t="shared" si="4"/>
        <v>1600</v>
      </c>
      <c r="K30" s="10" t="str">
        <f t="shared" si="1"/>
        <v>a</v>
      </c>
      <c r="L30" s="8">
        <f t="shared" si="5"/>
        <v>1699.99</v>
      </c>
      <c r="M30" s="7">
        <v>26551</v>
      </c>
      <c r="N30" s="7">
        <v>394493</v>
      </c>
      <c r="O30" s="46">
        <v>1649.31</v>
      </c>
      <c r="P30" s="46">
        <v>43790953.609999999</v>
      </c>
    </row>
    <row r="31" spans="2:16" ht="20.149999999999999" customHeight="1" x14ac:dyDescent="0.3">
      <c r="B31" s="9">
        <f t="shared" si="2"/>
        <v>170</v>
      </c>
      <c r="C31" s="10" t="str">
        <f t="shared" si="0"/>
        <v>a</v>
      </c>
      <c r="D31" s="8">
        <f t="shared" si="3"/>
        <v>179.99</v>
      </c>
      <c r="E31" s="7">
        <v>370932</v>
      </c>
      <c r="F31" s="46">
        <v>174.93</v>
      </c>
      <c r="G31" s="46">
        <v>64885329.869999997</v>
      </c>
      <c r="J31" s="9">
        <f t="shared" si="4"/>
        <v>1700</v>
      </c>
      <c r="K31" s="10" t="str">
        <f t="shared" si="1"/>
        <v>a</v>
      </c>
      <c r="L31" s="8">
        <f t="shared" si="5"/>
        <v>1799.99</v>
      </c>
      <c r="M31" s="7">
        <v>24408</v>
      </c>
      <c r="N31" s="7">
        <v>378099</v>
      </c>
      <c r="O31" s="46">
        <v>1749.04</v>
      </c>
      <c r="P31" s="46">
        <v>42690477.640000001</v>
      </c>
    </row>
    <row r="32" spans="2:16" ht="20.149999999999999" customHeight="1" x14ac:dyDescent="0.3">
      <c r="B32" s="9">
        <f t="shared" si="2"/>
        <v>180</v>
      </c>
      <c r="C32" s="10" t="str">
        <f t="shared" si="0"/>
        <v>a</v>
      </c>
      <c r="D32" s="8">
        <f t="shared" si="3"/>
        <v>189.99</v>
      </c>
      <c r="E32" s="7">
        <v>330457</v>
      </c>
      <c r="F32" s="46">
        <v>184.9</v>
      </c>
      <c r="G32" s="46">
        <v>61102524.390000001</v>
      </c>
      <c r="J32" s="9">
        <f t="shared" si="4"/>
        <v>1800</v>
      </c>
      <c r="K32" s="10" t="str">
        <f t="shared" si="1"/>
        <v>a</v>
      </c>
      <c r="L32" s="8">
        <f t="shared" si="5"/>
        <v>1899.99</v>
      </c>
      <c r="M32" s="7">
        <v>22658</v>
      </c>
      <c r="N32" s="7">
        <v>362880</v>
      </c>
      <c r="O32" s="46">
        <v>1849.15</v>
      </c>
      <c r="P32" s="46">
        <v>41898097.270000003</v>
      </c>
    </row>
    <row r="33" spans="2:16" ht="20.149999999999999" customHeight="1" x14ac:dyDescent="0.3">
      <c r="B33" s="9">
        <f t="shared" si="2"/>
        <v>190</v>
      </c>
      <c r="C33" s="10" t="str">
        <f t="shared" si="0"/>
        <v>a</v>
      </c>
      <c r="D33" s="8">
        <f t="shared" si="3"/>
        <v>199.99</v>
      </c>
      <c r="E33" s="7">
        <v>304761</v>
      </c>
      <c r="F33" s="46">
        <v>194.96</v>
      </c>
      <c r="G33" s="46">
        <v>59416592.539999999</v>
      </c>
      <c r="J33" s="9">
        <f t="shared" si="4"/>
        <v>1900</v>
      </c>
      <c r="K33" s="10" t="str">
        <f t="shared" si="1"/>
        <v>a</v>
      </c>
      <c r="L33" s="8">
        <f t="shared" si="5"/>
        <v>1999.99</v>
      </c>
      <c r="M33" s="7">
        <v>20701</v>
      </c>
      <c r="N33" s="7">
        <v>342479</v>
      </c>
      <c r="O33" s="46">
        <v>1949.45</v>
      </c>
      <c r="P33" s="46">
        <v>40355644.93</v>
      </c>
    </row>
    <row r="34" spans="2:16" ht="20.149999999999999" customHeight="1" x14ac:dyDescent="0.3">
      <c r="B34" s="9">
        <f t="shared" si="2"/>
        <v>200</v>
      </c>
      <c r="C34" s="10" t="str">
        <f t="shared" si="0"/>
        <v>a</v>
      </c>
      <c r="D34" s="8">
        <f t="shared" si="3"/>
        <v>209.99</v>
      </c>
      <c r="E34" s="7">
        <v>268285</v>
      </c>
      <c r="F34" s="46">
        <v>204.88</v>
      </c>
      <c r="G34" s="46">
        <v>54966444.450000003</v>
      </c>
      <c r="J34" s="9">
        <f t="shared" si="4"/>
        <v>2000</v>
      </c>
      <c r="K34" s="10" t="str">
        <f t="shared" si="1"/>
        <v>a</v>
      </c>
      <c r="L34" s="8">
        <f t="shared" si="5"/>
        <v>2099.9899999999998</v>
      </c>
      <c r="M34" s="7">
        <v>18982</v>
      </c>
      <c r="N34" s="7">
        <v>328749</v>
      </c>
      <c r="O34" s="46">
        <v>2049.23</v>
      </c>
      <c r="P34" s="46">
        <v>38898449.149999999</v>
      </c>
    </row>
    <row r="35" spans="2:16" ht="20.149999999999999" customHeight="1" x14ac:dyDescent="0.3">
      <c r="B35" s="9">
        <f t="shared" si="2"/>
        <v>210</v>
      </c>
      <c r="C35" s="10" t="str">
        <f t="shared" si="0"/>
        <v>a</v>
      </c>
      <c r="D35" s="8">
        <f t="shared" si="3"/>
        <v>219.99</v>
      </c>
      <c r="E35" s="7">
        <v>237832</v>
      </c>
      <c r="F35" s="46">
        <v>214.93</v>
      </c>
      <c r="G35" s="46">
        <v>51116855.130000003</v>
      </c>
      <c r="J35" s="9">
        <f t="shared" si="4"/>
        <v>2100</v>
      </c>
      <c r="K35" s="10" t="str">
        <f t="shared" si="1"/>
        <v>a</v>
      </c>
      <c r="L35" s="8">
        <f t="shared" si="5"/>
        <v>2199.9899999999998</v>
      </c>
      <c r="M35" s="7">
        <v>17810</v>
      </c>
      <c r="N35" s="7">
        <v>312939</v>
      </c>
      <c r="O35" s="46">
        <v>2149.1799999999998</v>
      </c>
      <c r="P35" s="46">
        <v>38276924.380000003</v>
      </c>
    </row>
    <row r="36" spans="2:16" ht="20.149999999999999" customHeight="1" x14ac:dyDescent="0.3">
      <c r="B36" s="9">
        <f t="shared" si="2"/>
        <v>220</v>
      </c>
      <c r="C36" s="10" t="str">
        <f t="shared" si="0"/>
        <v>a</v>
      </c>
      <c r="D36" s="8">
        <f t="shared" si="3"/>
        <v>229.99</v>
      </c>
      <c r="E36" s="7">
        <v>215909</v>
      </c>
      <c r="F36" s="46">
        <v>224.92</v>
      </c>
      <c r="G36" s="46">
        <v>48562292.009999998</v>
      </c>
      <c r="J36" s="9">
        <f t="shared" si="4"/>
        <v>2200</v>
      </c>
      <c r="K36" s="10" t="str">
        <f t="shared" si="1"/>
        <v>a</v>
      </c>
      <c r="L36" s="8">
        <f t="shared" si="5"/>
        <v>2299.9899999999998</v>
      </c>
      <c r="M36" s="7">
        <v>16484</v>
      </c>
      <c r="N36" s="7">
        <v>300452</v>
      </c>
      <c r="O36" s="46">
        <v>2249.3200000000002</v>
      </c>
      <c r="P36" s="46">
        <v>37077831.829999998</v>
      </c>
    </row>
    <row r="37" spans="2:16" ht="20.149999999999999" customHeight="1" x14ac:dyDescent="0.3">
      <c r="B37" s="9">
        <f t="shared" si="2"/>
        <v>230</v>
      </c>
      <c r="C37" s="10" t="str">
        <f t="shared" si="0"/>
        <v>a</v>
      </c>
      <c r="D37" s="8">
        <f t="shared" si="3"/>
        <v>239.99</v>
      </c>
      <c r="E37" s="7">
        <v>197108</v>
      </c>
      <c r="F37" s="46">
        <v>234.93</v>
      </c>
      <c r="G37" s="46">
        <v>46307001.310000002</v>
      </c>
      <c r="J37" s="9">
        <f t="shared" si="4"/>
        <v>2300</v>
      </c>
      <c r="K37" s="10" t="str">
        <f t="shared" si="1"/>
        <v>a</v>
      </c>
      <c r="L37" s="8">
        <f t="shared" si="5"/>
        <v>2399.9899999999998</v>
      </c>
      <c r="M37" s="7">
        <v>15179</v>
      </c>
      <c r="N37" s="7">
        <v>284663</v>
      </c>
      <c r="O37" s="46">
        <v>2349.5300000000002</v>
      </c>
      <c r="P37" s="46">
        <v>35663577.93</v>
      </c>
    </row>
    <row r="38" spans="2:16" ht="20.149999999999999" customHeight="1" x14ac:dyDescent="0.3">
      <c r="B38" s="9">
        <f t="shared" si="2"/>
        <v>240</v>
      </c>
      <c r="C38" s="10" t="str">
        <f t="shared" si="0"/>
        <v>a</v>
      </c>
      <c r="D38" s="8">
        <f t="shared" si="3"/>
        <v>249.99</v>
      </c>
      <c r="E38" s="7">
        <v>181067</v>
      </c>
      <c r="F38" s="46">
        <v>244.95</v>
      </c>
      <c r="G38" s="46">
        <v>44351852.93</v>
      </c>
      <c r="J38" s="9">
        <f t="shared" si="4"/>
        <v>2400</v>
      </c>
      <c r="K38" s="10" t="str">
        <f t="shared" si="1"/>
        <v>a</v>
      </c>
      <c r="L38" s="8">
        <f t="shared" si="5"/>
        <v>2499.9899999999998</v>
      </c>
      <c r="M38" s="7">
        <v>13998</v>
      </c>
      <c r="N38" s="7">
        <v>268395</v>
      </c>
      <c r="O38" s="46">
        <v>2449.5300000000002</v>
      </c>
      <c r="P38" s="46">
        <v>34288546.07</v>
      </c>
    </row>
    <row r="39" spans="2:16" ht="20.149999999999999" customHeight="1" x14ac:dyDescent="0.3">
      <c r="B39" s="9">
        <f t="shared" si="2"/>
        <v>250</v>
      </c>
      <c r="C39" s="10" t="str">
        <f t="shared" si="0"/>
        <v>a</v>
      </c>
      <c r="D39" s="8">
        <f t="shared" si="3"/>
        <v>259.99</v>
      </c>
      <c r="E39" s="7">
        <v>165724</v>
      </c>
      <c r="F39" s="46">
        <v>254.89</v>
      </c>
      <c r="G39" s="46">
        <v>42241602.479999997</v>
      </c>
      <c r="J39" s="9">
        <f t="shared" si="4"/>
        <v>2500</v>
      </c>
      <c r="K39" s="10" t="str">
        <f t="shared" si="1"/>
        <v>a</v>
      </c>
      <c r="L39" s="8">
        <f t="shared" si="5"/>
        <v>2599.9899999999998</v>
      </c>
      <c r="M39" s="7">
        <v>12944</v>
      </c>
      <c r="N39" s="7">
        <v>252176</v>
      </c>
      <c r="O39" s="46">
        <v>2548.9899999999998</v>
      </c>
      <c r="P39" s="46">
        <v>32994109.25</v>
      </c>
    </row>
    <row r="40" spans="2:16" ht="20.149999999999999" customHeight="1" x14ac:dyDescent="0.3">
      <c r="B40" s="9">
        <f t="shared" si="2"/>
        <v>260</v>
      </c>
      <c r="C40" s="10" t="str">
        <f t="shared" si="0"/>
        <v>a</v>
      </c>
      <c r="D40" s="8">
        <f t="shared" si="3"/>
        <v>269.99</v>
      </c>
      <c r="E40" s="7">
        <v>151114</v>
      </c>
      <c r="F40" s="46">
        <v>264.94</v>
      </c>
      <c r="G40" s="46">
        <v>40035627.159999996</v>
      </c>
      <c r="J40" s="9">
        <f t="shared" si="4"/>
        <v>2600</v>
      </c>
      <c r="K40" s="10" t="str">
        <f t="shared" si="1"/>
        <v>a</v>
      </c>
      <c r="L40" s="8">
        <f t="shared" si="5"/>
        <v>2699.99</v>
      </c>
      <c r="M40" s="7">
        <v>12040</v>
      </c>
      <c r="N40" s="7">
        <v>242973</v>
      </c>
      <c r="O40" s="46">
        <v>2649.56</v>
      </c>
      <c r="P40" s="46">
        <v>31900655.41</v>
      </c>
    </row>
    <row r="41" spans="2:16" ht="20.149999999999999" customHeight="1" x14ac:dyDescent="0.3">
      <c r="B41" s="9">
        <f t="shared" si="2"/>
        <v>270</v>
      </c>
      <c r="C41" s="10" t="str">
        <f t="shared" si="0"/>
        <v>a</v>
      </c>
      <c r="D41" s="8">
        <f t="shared" si="3"/>
        <v>279.99</v>
      </c>
      <c r="E41" s="7">
        <v>138958</v>
      </c>
      <c r="F41" s="46">
        <v>274.95999999999998</v>
      </c>
      <c r="G41" s="46">
        <v>38207822.619999997</v>
      </c>
      <c r="J41" s="9">
        <f t="shared" si="4"/>
        <v>2700</v>
      </c>
      <c r="K41" s="10" t="str">
        <f t="shared" si="1"/>
        <v>a</v>
      </c>
      <c r="L41" s="8">
        <f t="shared" si="5"/>
        <v>2799.99</v>
      </c>
      <c r="M41" s="7">
        <v>11029</v>
      </c>
      <c r="N41" s="7">
        <v>228389</v>
      </c>
      <c r="O41" s="46">
        <v>2749.66</v>
      </c>
      <c r="P41" s="46">
        <v>30326043.710000001</v>
      </c>
    </row>
    <row r="42" spans="2:16" ht="20.149999999999999" customHeight="1" x14ac:dyDescent="0.3">
      <c r="B42" s="9">
        <f t="shared" si="2"/>
        <v>280</v>
      </c>
      <c r="C42" s="10" t="str">
        <f t="shared" si="0"/>
        <v>a</v>
      </c>
      <c r="D42" s="8">
        <f t="shared" si="3"/>
        <v>289.99</v>
      </c>
      <c r="E42" s="7">
        <v>128258</v>
      </c>
      <c r="F42" s="46">
        <v>284.94</v>
      </c>
      <c r="G42" s="46">
        <v>36545383.289999999</v>
      </c>
      <c r="J42" s="9">
        <f t="shared" si="4"/>
        <v>2800</v>
      </c>
      <c r="K42" s="10" t="str">
        <f t="shared" si="1"/>
        <v>a</v>
      </c>
      <c r="L42" s="8">
        <f t="shared" si="5"/>
        <v>2899.99</v>
      </c>
      <c r="M42" s="7">
        <v>10146</v>
      </c>
      <c r="N42" s="7">
        <v>213654</v>
      </c>
      <c r="O42" s="46">
        <v>2849.45</v>
      </c>
      <c r="P42" s="46">
        <v>28910485.510000002</v>
      </c>
    </row>
    <row r="43" spans="2:16" ht="20.149999999999999" customHeight="1" x14ac:dyDescent="0.3">
      <c r="B43" s="9">
        <f t="shared" si="2"/>
        <v>290</v>
      </c>
      <c r="C43" s="10" t="str">
        <f t="shared" si="0"/>
        <v>a</v>
      </c>
      <c r="D43" s="8">
        <f t="shared" si="3"/>
        <v>299.99</v>
      </c>
      <c r="E43" s="7">
        <v>121954</v>
      </c>
      <c r="F43" s="46">
        <v>295</v>
      </c>
      <c r="G43" s="46">
        <v>35976457.079999998</v>
      </c>
      <c r="J43" s="9">
        <f t="shared" si="4"/>
        <v>2900</v>
      </c>
      <c r="K43" s="10" t="str">
        <f t="shared" si="1"/>
        <v>a</v>
      </c>
      <c r="L43" s="8">
        <f t="shared" si="5"/>
        <v>2999.99</v>
      </c>
      <c r="M43" s="7">
        <v>9540</v>
      </c>
      <c r="N43" s="7">
        <v>204477</v>
      </c>
      <c r="O43" s="46">
        <v>2949.13</v>
      </c>
      <c r="P43" s="46">
        <v>28134716.600000001</v>
      </c>
    </row>
    <row r="44" spans="2:16" ht="20.149999999999999" customHeight="1" x14ac:dyDescent="0.3">
      <c r="B44" s="9">
        <f t="shared" si="2"/>
        <v>300</v>
      </c>
      <c r="C44" s="10" t="str">
        <f t="shared" si="0"/>
        <v>a</v>
      </c>
      <c r="D44" s="8">
        <f t="shared" si="3"/>
        <v>309.99</v>
      </c>
      <c r="E44" s="7">
        <v>111526</v>
      </c>
      <c r="F44" s="46">
        <v>304.89</v>
      </c>
      <c r="G44" s="46">
        <v>34002762.609999999</v>
      </c>
      <c r="J44" s="9">
        <f t="shared" si="4"/>
        <v>3000</v>
      </c>
      <c r="K44" s="10" t="str">
        <f t="shared" si="1"/>
        <v>a</v>
      </c>
      <c r="L44" s="8">
        <f t="shared" si="5"/>
        <v>3099.99</v>
      </c>
      <c r="M44" s="7">
        <v>8872</v>
      </c>
      <c r="N44" s="7">
        <v>193920</v>
      </c>
      <c r="O44" s="46">
        <v>3049.23</v>
      </c>
      <c r="P44" s="46">
        <v>27052751.66</v>
      </c>
    </row>
    <row r="45" spans="2:16" ht="20.149999999999999" customHeight="1" x14ac:dyDescent="0.3">
      <c r="B45" s="9">
        <f t="shared" si="2"/>
        <v>310</v>
      </c>
      <c r="C45" s="10" t="str">
        <f t="shared" si="0"/>
        <v>a</v>
      </c>
      <c r="D45" s="8">
        <f t="shared" si="3"/>
        <v>319.99</v>
      </c>
      <c r="E45" s="7">
        <v>101467</v>
      </c>
      <c r="F45" s="46">
        <v>314.91000000000003</v>
      </c>
      <c r="G45" s="46">
        <v>31953285.879999999</v>
      </c>
      <c r="J45" s="9">
        <f t="shared" si="4"/>
        <v>3100</v>
      </c>
      <c r="K45" s="10" t="str">
        <f t="shared" si="1"/>
        <v>a</v>
      </c>
      <c r="L45" s="8">
        <f t="shared" si="5"/>
        <v>3199.99</v>
      </c>
      <c r="M45" s="7">
        <v>8272</v>
      </c>
      <c r="N45" s="7">
        <v>186789</v>
      </c>
      <c r="O45" s="46">
        <v>3148.69</v>
      </c>
      <c r="P45" s="46">
        <v>26045994.489999998</v>
      </c>
    </row>
    <row r="46" spans="2:16" ht="20.149999999999999" customHeight="1" x14ac:dyDescent="0.3">
      <c r="B46" s="9">
        <f t="shared" si="2"/>
        <v>320</v>
      </c>
      <c r="C46" s="10" t="str">
        <f t="shared" si="0"/>
        <v>a</v>
      </c>
      <c r="D46" s="8">
        <f t="shared" si="3"/>
        <v>329.99</v>
      </c>
      <c r="E46" s="7">
        <v>93628</v>
      </c>
      <c r="F46" s="46">
        <v>324.93</v>
      </c>
      <c r="G46" s="46">
        <v>30422128.129999999</v>
      </c>
      <c r="J46" s="9">
        <f t="shared" si="4"/>
        <v>3200</v>
      </c>
      <c r="K46" s="10" t="str">
        <f t="shared" si="1"/>
        <v>a</v>
      </c>
      <c r="L46" s="8">
        <f t="shared" si="5"/>
        <v>3299.99</v>
      </c>
      <c r="M46" s="7">
        <v>7641</v>
      </c>
      <c r="N46" s="7">
        <v>174469</v>
      </c>
      <c r="O46" s="46">
        <v>3249.15</v>
      </c>
      <c r="P46" s="46">
        <v>24826777.07</v>
      </c>
    </row>
    <row r="47" spans="2:16" ht="20.149999999999999" customHeight="1" x14ac:dyDescent="0.3">
      <c r="B47" s="9">
        <f t="shared" si="2"/>
        <v>330</v>
      </c>
      <c r="C47" s="10" t="str">
        <f t="shared" si="0"/>
        <v>a</v>
      </c>
      <c r="D47" s="8">
        <f t="shared" si="3"/>
        <v>339.99</v>
      </c>
      <c r="E47" s="7">
        <v>87241</v>
      </c>
      <c r="F47" s="46">
        <v>334.95</v>
      </c>
      <c r="G47" s="46">
        <v>29221331.899999999</v>
      </c>
      <c r="J47" s="9">
        <f t="shared" si="4"/>
        <v>3300</v>
      </c>
      <c r="K47" s="10" t="str">
        <f t="shared" si="1"/>
        <v>a</v>
      </c>
      <c r="L47" s="8">
        <f t="shared" si="5"/>
        <v>3399.99</v>
      </c>
      <c r="M47" s="7">
        <v>7095</v>
      </c>
      <c r="N47" s="7">
        <v>162586</v>
      </c>
      <c r="O47" s="46">
        <v>3349.92</v>
      </c>
      <c r="P47" s="46">
        <v>23767701.68</v>
      </c>
    </row>
    <row r="48" spans="2:16" ht="20.149999999999999" customHeight="1" x14ac:dyDescent="0.3">
      <c r="B48" s="9">
        <f t="shared" si="2"/>
        <v>340</v>
      </c>
      <c r="C48" s="10" t="str">
        <f t="shared" si="0"/>
        <v>a</v>
      </c>
      <c r="D48" s="8">
        <f t="shared" si="3"/>
        <v>349.99</v>
      </c>
      <c r="E48" s="7">
        <v>81801</v>
      </c>
      <c r="F48" s="46">
        <v>344.97</v>
      </c>
      <c r="G48" s="46">
        <v>28218607.25</v>
      </c>
      <c r="J48" s="9">
        <f t="shared" si="4"/>
        <v>3400</v>
      </c>
      <c r="K48" s="10" t="str">
        <f t="shared" si="1"/>
        <v>a</v>
      </c>
      <c r="L48" s="8">
        <f t="shared" si="5"/>
        <v>3499.99</v>
      </c>
      <c r="M48" s="7">
        <v>6677</v>
      </c>
      <c r="N48" s="7">
        <v>158476</v>
      </c>
      <c r="O48" s="46">
        <v>3449.88</v>
      </c>
      <c r="P48" s="46">
        <v>23034848.66</v>
      </c>
    </row>
    <row r="49" spans="2:16" ht="20.149999999999999" customHeight="1" x14ac:dyDescent="0.3">
      <c r="B49" s="9">
        <f t="shared" si="2"/>
        <v>350</v>
      </c>
      <c r="C49" s="10" t="str">
        <f t="shared" si="0"/>
        <v>a</v>
      </c>
      <c r="D49" s="8">
        <f t="shared" si="3"/>
        <v>359.99</v>
      </c>
      <c r="E49" s="7">
        <v>76048</v>
      </c>
      <c r="F49" s="46">
        <v>354.94</v>
      </c>
      <c r="G49" s="46">
        <v>26992628.829999998</v>
      </c>
      <c r="J49" s="9">
        <f t="shared" si="4"/>
        <v>3500</v>
      </c>
      <c r="K49" s="10" t="str">
        <f t="shared" si="1"/>
        <v>a</v>
      </c>
      <c r="L49" s="8">
        <f t="shared" si="5"/>
        <v>3599.99</v>
      </c>
      <c r="M49" s="7">
        <v>6200</v>
      </c>
      <c r="N49" s="7">
        <v>151289</v>
      </c>
      <c r="O49" s="46">
        <v>3549.23</v>
      </c>
      <c r="P49" s="46">
        <v>22005195.25</v>
      </c>
    </row>
    <row r="50" spans="2:16" ht="20.149999999999999" customHeight="1" x14ac:dyDescent="0.3">
      <c r="B50" s="9">
        <f t="shared" si="2"/>
        <v>360</v>
      </c>
      <c r="C50" s="10" t="str">
        <f t="shared" si="0"/>
        <v>a</v>
      </c>
      <c r="D50" s="8">
        <f t="shared" si="3"/>
        <v>369.99</v>
      </c>
      <c r="E50" s="7">
        <v>70812</v>
      </c>
      <c r="F50" s="46">
        <v>364.93</v>
      </c>
      <c r="G50" s="46">
        <v>25841572.02</v>
      </c>
      <c r="J50" s="9">
        <f t="shared" si="4"/>
        <v>3600</v>
      </c>
      <c r="K50" s="10" t="str">
        <f t="shared" si="1"/>
        <v>a</v>
      </c>
      <c r="L50" s="8">
        <f t="shared" si="5"/>
        <v>3699.99</v>
      </c>
      <c r="M50" s="7">
        <v>5688</v>
      </c>
      <c r="N50" s="7">
        <v>140203</v>
      </c>
      <c r="O50" s="46">
        <v>3649.27</v>
      </c>
      <c r="P50" s="46">
        <v>20757074.949999999</v>
      </c>
    </row>
    <row r="51" spans="2:16" ht="20.149999999999999" customHeight="1" x14ac:dyDescent="0.3">
      <c r="B51" s="9">
        <f t="shared" si="2"/>
        <v>370</v>
      </c>
      <c r="C51" s="10" t="str">
        <f t="shared" si="0"/>
        <v>a</v>
      </c>
      <c r="D51" s="8">
        <f t="shared" si="3"/>
        <v>379.99</v>
      </c>
      <c r="E51" s="7">
        <v>66820</v>
      </c>
      <c r="F51" s="46">
        <v>374.94</v>
      </c>
      <c r="G51" s="46">
        <v>25053786.640000001</v>
      </c>
      <c r="J51" s="9">
        <f t="shared" si="4"/>
        <v>3700</v>
      </c>
      <c r="K51" s="10" t="str">
        <f t="shared" si="1"/>
        <v>a</v>
      </c>
      <c r="L51" s="8">
        <f t="shared" si="5"/>
        <v>3799.99</v>
      </c>
      <c r="M51" s="7">
        <v>5239</v>
      </c>
      <c r="N51" s="7">
        <v>130763</v>
      </c>
      <c r="O51" s="46">
        <v>3749.54</v>
      </c>
      <c r="P51" s="46">
        <v>19643851.82</v>
      </c>
    </row>
    <row r="52" spans="2:16" ht="20.149999999999999" customHeight="1" x14ac:dyDescent="0.3">
      <c r="B52" s="9">
        <f t="shared" si="2"/>
        <v>380</v>
      </c>
      <c r="C52" s="10" t="str">
        <f t="shared" si="0"/>
        <v>a</v>
      </c>
      <c r="D52" s="8">
        <f t="shared" si="3"/>
        <v>389.99</v>
      </c>
      <c r="E52" s="7">
        <v>62153</v>
      </c>
      <c r="F52" s="46">
        <v>384.95</v>
      </c>
      <c r="G52" s="46">
        <v>23926071.940000001</v>
      </c>
      <c r="J52" s="9">
        <f t="shared" si="4"/>
        <v>3800</v>
      </c>
      <c r="K52" s="10" t="str">
        <f t="shared" si="1"/>
        <v>a</v>
      </c>
      <c r="L52" s="8">
        <f t="shared" si="5"/>
        <v>3899.99</v>
      </c>
      <c r="M52" s="7">
        <v>4899</v>
      </c>
      <c r="N52" s="7">
        <v>125215</v>
      </c>
      <c r="O52" s="46">
        <v>3849.1</v>
      </c>
      <c r="P52" s="46">
        <v>18856748.719999999</v>
      </c>
    </row>
    <row r="53" spans="2:16" ht="20.149999999999999" customHeight="1" x14ac:dyDescent="0.3">
      <c r="B53" s="9">
        <f t="shared" si="2"/>
        <v>390</v>
      </c>
      <c r="C53" s="10" t="str">
        <f t="shared" si="0"/>
        <v>a</v>
      </c>
      <c r="D53" s="8">
        <f t="shared" si="3"/>
        <v>399.99</v>
      </c>
      <c r="E53" s="7">
        <v>60826</v>
      </c>
      <c r="F53" s="46">
        <v>395.01</v>
      </c>
      <c r="G53" s="46">
        <v>24026983.52</v>
      </c>
      <c r="J53" s="9">
        <f t="shared" si="4"/>
        <v>3900</v>
      </c>
      <c r="K53" s="10" t="str">
        <f t="shared" si="1"/>
        <v>a</v>
      </c>
      <c r="L53" s="8">
        <f t="shared" si="5"/>
        <v>3999.99</v>
      </c>
      <c r="M53" s="7">
        <v>4705</v>
      </c>
      <c r="N53" s="7">
        <v>122077</v>
      </c>
      <c r="O53" s="46">
        <v>3948.57</v>
      </c>
      <c r="P53" s="46">
        <v>18578016.079999998</v>
      </c>
    </row>
    <row r="54" spans="2:16" ht="20.149999999999999" customHeight="1" x14ac:dyDescent="0.3">
      <c r="B54" s="9">
        <f t="shared" si="2"/>
        <v>400</v>
      </c>
      <c r="C54" s="10" t="str">
        <f t="shared" si="0"/>
        <v>a</v>
      </c>
      <c r="D54" s="8">
        <f t="shared" si="3"/>
        <v>409.99</v>
      </c>
      <c r="E54" s="7">
        <v>55628</v>
      </c>
      <c r="F54" s="46">
        <v>404.93</v>
      </c>
      <c r="G54" s="46">
        <v>22525454.899999999</v>
      </c>
      <c r="J54" s="9">
        <f t="shared" si="4"/>
        <v>4000</v>
      </c>
      <c r="K54" s="10" t="str">
        <f t="shared" si="1"/>
        <v>a</v>
      </c>
      <c r="L54" s="8">
        <f t="shared" si="5"/>
        <v>4099.99</v>
      </c>
      <c r="M54" s="7">
        <v>4296</v>
      </c>
      <c r="N54" s="7">
        <v>112117</v>
      </c>
      <c r="O54" s="46">
        <v>4049.15</v>
      </c>
      <c r="P54" s="46">
        <v>17395137.809999999</v>
      </c>
    </row>
    <row r="55" spans="2:16" ht="20.149999999999999" customHeight="1" x14ac:dyDescent="0.3">
      <c r="B55" s="9">
        <f t="shared" si="2"/>
        <v>410</v>
      </c>
      <c r="C55" s="10" t="str">
        <f t="shared" si="0"/>
        <v>a</v>
      </c>
      <c r="D55" s="8">
        <f t="shared" si="3"/>
        <v>419.99</v>
      </c>
      <c r="E55" s="7">
        <v>51892</v>
      </c>
      <c r="F55" s="46">
        <v>414.98</v>
      </c>
      <c r="G55" s="46">
        <v>21534294.25</v>
      </c>
      <c r="J55" s="9">
        <f t="shared" si="4"/>
        <v>4100</v>
      </c>
      <c r="K55" s="10" t="str">
        <f t="shared" si="1"/>
        <v>a</v>
      </c>
      <c r="L55" s="8">
        <f t="shared" si="5"/>
        <v>4199.99</v>
      </c>
      <c r="M55" s="7">
        <v>4081</v>
      </c>
      <c r="N55" s="7">
        <v>108310</v>
      </c>
      <c r="O55" s="46">
        <v>4149.46</v>
      </c>
      <c r="P55" s="46">
        <v>16933952.98</v>
      </c>
    </row>
    <row r="56" spans="2:16" ht="20.149999999999999" customHeight="1" x14ac:dyDescent="0.3">
      <c r="B56" s="9">
        <f t="shared" si="2"/>
        <v>420</v>
      </c>
      <c r="C56" s="10" t="str">
        <f t="shared" si="0"/>
        <v>a</v>
      </c>
      <c r="D56" s="8">
        <f t="shared" si="3"/>
        <v>429.99</v>
      </c>
      <c r="E56" s="7">
        <v>48111</v>
      </c>
      <c r="F56" s="46">
        <v>424.94</v>
      </c>
      <c r="G56" s="46">
        <v>20444265.620000001</v>
      </c>
      <c r="J56" s="9">
        <f t="shared" si="4"/>
        <v>4200</v>
      </c>
      <c r="K56" s="10" t="str">
        <f t="shared" si="1"/>
        <v>a</v>
      </c>
      <c r="L56" s="8">
        <f t="shared" si="5"/>
        <v>4299.99</v>
      </c>
      <c r="M56" s="7">
        <v>3626</v>
      </c>
      <c r="N56" s="7">
        <v>97517</v>
      </c>
      <c r="O56" s="46">
        <v>4249.3100000000004</v>
      </c>
      <c r="P56" s="46">
        <v>15407990.57</v>
      </c>
    </row>
    <row r="57" spans="2:16" ht="20.149999999999999" customHeight="1" x14ac:dyDescent="0.3">
      <c r="B57" s="9">
        <f t="shared" si="2"/>
        <v>430</v>
      </c>
      <c r="C57" s="10" t="str">
        <f t="shared" si="0"/>
        <v>a</v>
      </c>
      <c r="D57" s="8">
        <f t="shared" si="3"/>
        <v>439.99</v>
      </c>
      <c r="E57" s="7">
        <v>45787</v>
      </c>
      <c r="F57" s="46">
        <v>434.96</v>
      </c>
      <c r="G57" s="46">
        <v>19915327.859999999</v>
      </c>
      <c r="J57" s="9">
        <f t="shared" si="4"/>
        <v>4300</v>
      </c>
      <c r="K57" s="10" t="str">
        <f t="shared" si="1"/>
        <v>a</v>
      </c>
      <c r="L57" s="8">
        <f t="shared" si="5"/>
        <v>4399.99</v>
      </c>
      <c r="M57" s="7">
        <v>3514</v>
      </c>
      <c r="N57" s="7">
        <v>95660</v>
      </c>
      <c r="O57" s="46">
        <v>4349.67</v>
      </c>
      <c r="P57" s="46">
        <v>15284726.32</v>
      </c>
    </row>
    <row r="58" spans="2:16" ht="20.149999999999999" customHeight="1" x14ac:dyDescent="0.3">
      <c r="B58" s="9">
        <f t="shared" si="2"/>
        <v>440</v>
      </c>
      <c r="C58" s="10" t="str">
        <f t="shared" si="0"/>
        <v>a</v>
      </c>
      <c r="D58" s="8">
        <f t="shared" si="3"/>
        <v>449.99</v>
      </c>
      <c r="E58" s="7">
        <v>43260</v>
      </c>
      <c r="F58" s="46">
        <v>444.98</v>
      </c>
      <c r="G58" s="46">
        <v>19249792.030000001</v>
      </c>
      <c r="J58" s="9">
        <f t="shared" si="4"/>
        <v>4400</v>
      </c>
      <c r="K58" s="10" t="str">
        <f t="shared" si="1"/>
        <v>a</v>
      </c>
      <c r="L58" s="8">
        <f t="shared" si="5"/>
        <v>4499.99</v>
      </c>
      <c r="M58" s="7">
        <v>3316</v>
      </c>
      <c r="N58" s="7">
        <v>92894</v>
      </c>
      <c r="O58" s="46">
        <v>4450.1400000000003</v>
      </c>
      <c r="P58" s="46">
        <v>14756655.59</v>
      </c>
    </row>
    <row r="59" spans="2:16" ht="20.149999999999999" customHeight="1" x14ac:dyDescent="0.3">
      <c r="B59" s="9">
        <f t="shared" si="2"/>
        <v>450</v>
      </c>
      <c r="C59" s="10" t="str">
        <f t="shared" si="0"/>
        <v>a</v>
      </c>
      <c r="D59" s="8">
        <f t="shared" si="3"/>
        <v>459.99</v>
      </c>
      <c r="E59" s="7">
        <v>40987</v>
      </c>
      <c r="F59" s="46">
        <v>454.93</v>
      </c>
      <c r="G59" s="46">
        <v>18646277.02</v>
      </c>
      <c r="J59" s="9">
        <f t="shared" si="4"/>
        <v>4500</v>
      </c>
      <c r="K59" s="10" t="str">
        <f t="shared" si="1"/>
        <v>a</v>
      </c>
      <c r="L59" s="8">
        <f t="shared" si="5"/>
        <v>4599.99</v>
      </c>
      <c r="M59" s="7">
        <v>3091</v>
      </c>
      <c r="N59" s="7">
        <v>86431</v>
      </c>
      <c r="O59" s="46">
        <v>4549</v>
      </c>
      <c r="P59" s="46">
        <v>14060958.720000001</v>
      </c>
    </row>
    <row r="60" spans="2:16" ht="20.149999999999999" customHeight="1" x14ac:dyDescent="0.3">
      <c r="B60" s="9">
        <f t="shared" si="2"/>
        <v>460</v>
      </c>
      <c r="C60" s="10" t="str">
        <f t="shared" si="0"/>
        <v>a</v>
      </c>
      <c r="D60" s="8">
        <f t="shared" si="3"/>
        <v>469.99</v>
      </c>
      <c r="E60" s="7">
        <v>38587</v>
      </c>
      <c r="F60" s="46">
        <v>464.94</v>
      </c>
      <c r="G60" s="46">
        <v>17940688.890000001</v>
      </c>
      <c r="J60" s="9">
        <f t="shared" si="4"/>
        <v>4600</v>
      </c>
      <c r="K60" s="10" t="str">
        <f t="shared" si="1"/>
        <v>a</v>
      </c>
      <c r="L60" s="8">
        <f t="shared" si="5"/>
        <v>4699.99</v>
      </c>
      <c r="M60" s="7">
        <v>2993</v>
      </c>
      <c r="N60" s="7">
        <v>85677</v>
      </c>
      <c r="O60" s="46">
        <v>4650.1899999999996</v>
      </c>
      <c r="P60" s="46">
        <v>13918026.539999999</v>
      </c>
    </row>
    <row r="61" spans="2:16" ht="20.149999999999999" customHeight="1" x14ac:dyDescent="0.3">
      <c r="B61" s="9">
        <f t="shared" si="2"/>
        <v>470</v>
      </c>
      <c r="C61" s="10" t="str">
        <f t="shared" si="0"/>
        <v>a</v>
      </c>
      <c r="D61" s="8">
        <f t="shared" si="3"/>
        <v>479.99</v>
      </c>
      <c r="E61" s="7">
        <v>36672</v>
      </c>
      <c r="F61" s="46">
        <v>474.97</v>
      </c>
      <c r="G61" s="46">
        <v>17418235.879999999</v>
      </c>
      <c r="J61" s="9">
        <f t="shared" si="4"/>
        <v>4700</v>
      </c>
      <c r="K61" s="10" t="str">
        <f t="shared" si="1"/>
        <v>a</v>
      </c>
      <c r="L61" s="8">
        <f t="shared" si="5"/>
        <v>4799.99</v>
      </c>
      <c r="M61" s="7">
        <v>2690</v>
      </c>
      <c r="N61" s="7">
        <v>77913</v>
      </c>
      <c r="O61" s="46">
        <v>4749.5200000000004</v>
      </c>
      <c r="P61" s="46">
        <v>12776220.130000001</v>
      </c>
    </row>
    <row r="62" spans="2:16" ht="20.149999999999999" customHeight="1" x14ac:dyDescent="0.3">
      <c r="B62" s="9">
        <f t="shared" si="2"/>
        <v>480</v>
      </c>
      <c r="C62" s="10" t="str">
        <f t="shared" si="0"/>
        <v>a</v>
      </c>
      <c r="D62" s="8">
        <f t="shared" si="3"/>
        <v>489.99</v>
      </c>
      <c r="E62" s="7">
        <v>34744</v>
      </c>
      <c r="F62" s="46">
        <v>484.95</v>
      </c>
      <c r="G62" s="46">
        <v>16848999.559999999</v>
      </c>
      <c r="J62" s="9">
        <f t="shared" si="4"/>
        <v>4800</v>
      </c>
      <c r="K62" s="10" t="str">
        <f t="shared" si="1"/>
        <v>a</v>
      </c>
      <c r="L62" s="8">
        <f t="shared" si="5"/>
        <v>4899.99</v>
      </c>
      <c r="M62" s="7">
        <v>2601</v>
      </c>
      <c r="N62" s="7">
        <v>75795</v>
      </c>
      <c r="O62" s="46">
        <v>4849.45</v>
      </c>
      <c r="P62" s="46">
        <v>12613428.57</v>
      </c>
    </row>
    <row r="63" spans="2:16" ht="20.149999999999999" customHeight="1" x14ac:dyDescent="0.3">
      <c r="B63" s="9">
        <f t="shared" si="2"/>
        <v>490</v>
      </c>
      <c r="C63" s="10" t="str">
        <f t="shared" si="0"/>
        <v>a</v>
      </c>
      <c r="D63" s="8">
        <f t="shared" si="3"/>
        <v>499.99</v>
      </c>
      <c r="E63" s="7">
        <v>34374</v>
      </c>
      <c r="F63" s="46">
        <v>495.04</v>
      </c>
      <c r="G63" s="46">
        <v>17016558.59</v>
      </c>
      <c r="J63" s="9">
        <f t="shared" si="4"/>
        <v>4900</v>
      </c>
      <c r="K63" s="10" t="str">
        <f t="shared" si="1"/>
        <v>a</v>
      </c>
      <c r="L63" s="8">
        <f t="shared" si="5"/>
        <v>4999.99</v>
      </c>
      <c r="M63" s="7">
        <v>2348</v>
      </c>
      <c r="N63" s="7">
        <v>72808</v>
      </c>
      <c r="O63" s="46">
        <v>4948.96</v>
      </c>
      <c r="P63" s="46">
        <v>11620160.76</v>
      </c>
    </row>
    <row r="64" spans="2:16" ht="20.149999999999999" customHeight="1" x14ac:dyDescent="0.3">
      <c r="B64" s="9">
        <f t="shared" si="2"/>
        <v>500</v>
      </c>
      <c r="C64" s="10" t="str">
        <f t="shared" si="0"/>
        <v>a</v>
      </c>
      <c r="D64" s="8">
        <f t="shared" si="3"/>
        <v>509.99</v>
      </c>
      <c r="E64" s="7">
        <v>31977</v>
      </c>
      <c r="F64" s="46">
        <v>504.89</v>
      </c>
      <c r="G64" s="46">
        <v>16144834.710000001</v>
      </c>
      <c r="J64" s="9">
        <f t="shared" si="4"/>
        <v>5000</v>
      </c>
      <c r="K64" s="10" t="str">
        <f t="shared" si="1"/>
        <v>a</v>
      </c>
      <c r="L64" s="8">
        <f t="shared" si="5"/>
        <v>5099.99</v>
      </c>
      <c r="M64" s="7">
        <v>2188</v>
      </c>
      <c r="N64" s="7">
        <v>66341</v>
      </c>
      <c r="O64" s="46">
        <v>5049.51</v>
      </c>
      <c r="P64" s="46">
        <v>11048324.08</v>
      </c>
    </row>
    <row r="65" spans="2:16" ht="20.149999999999999" customHeight="1" x14ac:dyDescent="0.3">
      <c r="B65" s="9">
        <f t="shared" si="2"/>
        <v>510</v>
      </c>
      <c r="C65" s="10" t="str">
        <f t="shared" si="0"/>
        <v>a</v>
      </c>
      <c r="D65" s="8">
        <f t="shared" si="3"/>
        <v>519.99</v>
      </c>
      <c r="E65" s="7">
        <v>29575</v>
      </c>
      <c r="F65" s="46">
        <v>514.92999999999995</v>
      </c>
      <c r="G65" s="46">
        <v>15229091.199999999</v>
      </c>
      <c r="J65" s="9">
        <f t="shared" si="4"/>
        <v>5100</v>
      </c>
      <c r="K65" s="10" t="str">
        <f t="shared" si="1"/>
        <v>a</v>
      </c>
      <c r="L65" s="8">
        <f t="shared" si="5"/>
        <v>5199.99</v>
      </c>
      <c r="M65" s="7">
        <v>2080</v>
      </c>
      <c r="N65" s="7">
        <v>64665</v>
      </c>
      <c r="O65" s="46">
        <v>5148.3100000000004</v>
      </c>
      <c r="P65" s="46">
        <v>10708491.890000001</v>
      </c>
    </row>
    <row r="66" spans="2:16" ht="20.149999999999999" customHeight="1" x14ac:dyDescent="0.3">
      <c r="B66" s="9">
        <f t="shared" si="2"/>
        <v>520</v>
      </c>
      <c r="C66" s="10" t="str">
        <f t="shared" si="0"/>
        <v>a</v>
      </c>
      <c r="D66" s="8">
        <f t="shared" si="3"/>
        <v>529.99</v>
      </c>
      <c r="E66" s="7">
        <v>28089</v>
      </c>
      <c r="F66" s="46">
        <v>524.94000000000005</v>
      </c>
      <c r="G66" s="46">
        <v>14745170.09</v>
      </c>
      <c r="J66" s="9">
        <f t="shared" si="4"/>
        <v>5200</v>
      </c>
      <c r="K66" s="10" t="str">
        <f t="shared" si="1"/>
        <v>a</v>
      </c>
      <c r="L66" s="8">
        <f t="shared" si="5"/>
        <v>5299.99</v>
      </c>
      <c r="M66" s="7">
        <v>1935</v>
      </c>
      <c r="N66" s="7">
        <v>58820</v>
      </c>
      <c r="O66" s="46">
        <v>5248.54</v>
      </c>
      <c r="P66" s="46">
        <v>10155916.890000001</v>
      </c>
    </row>
    <row r="67" spans="2:16" ht="20.149999999999999" customHeight="1" x14ac:dyDescent="0.3">
      <c r="B67" s="9">
        <f t="shared" si="2"/>
        <v>530</v>
      </c>
      <c r="C67" s="10" t="str">
        <f t="shared" si="0"/>
        <v>a</v>
      </c>
      <c r="D67" s="8">
        <f t="shared" si="3"/>
        <v>539.99</v>
      </c>
      <c r="E67" s="7">
        <v>26501</v>
      </c>
      <c r="F67" s="46">
        <v>534.95000000000005</v>
      </c>
      <c r="G67" s="46">
        <v>14176700.85</v>
      </c>
      <c r="J67" s="9">
        <f t="shared" si="4"/>
        <v>5300</v>
      </c>
      <c r="K67" s="10" t="str">
        <f t="shared" si="1"/>
        <v>a</v>
      </c>
      <c r="L67" s="8">
        <f t="shared" si="5"/>
        <v>5399.99</v>
      </c>
      <c r="M67" s="7">
        <v>1824</v>
      </c>
      <c r="N67" s="7">
        <v>56806</v>
      </c>
      <c r="O67" s="46">
        <v>5350.53</v>
      </c>
      <c r="P67" s="46">
        <v>9759361.1699999999</v>
      </c>
    </row>
    <row r="68" spans="2:16" ht="20.149999999999999" customHeight="1" x14ac:dyDescent="0.3">
      <c r="B68" s="9">
        <f t="shared" si="2"/>
        <v>540</v>
      </c>
      <c r="C68" s="10" t="str">
        <f t="shared" si="0"/>
        <v>a</v>
      </c>
      <c r="D68" s="8">
        <f t="shared" si="3"/>
        <v>549.99</v>
      </c>
      <c r="E68" s="7">
        <v>25150</v>
      </c>
      <c r="F68" s="46">
        <v>544.96</v>
      </c>
      <c r="G68" s="46">
        <v>13705792.57</v>
      </c>
      <c r="J68" s="9">
        <f t="shared" si="4"/>
        <v>5400</v>
      </c>
      <c r="K68" s="10" t="str">
        <f t="shared" si="1"/>
        <v>a</v>
      </c>
      <c r="L68" s="8">
        <f t="shared" si="5"/>
        <v>5499.99</v>
      </c>
      <c r="M68" s="7">
        <v>1692</v>
      </c>
      <c r="N68" s="7">
        <v>52863</v>
      </c>
      <c r="O68" s="46">
        <v>5449.18</v>
      </c>
      <c r="P68" s="46">
        <v>9220016.6099999994</v>
      </c>
    </row>
    <row r="69" spans="2:16" ht="20.149999999999999" customHeight="1" x14ac:dyDescent="0.3">
      <c r="B69" s="9">
        <f t="shared" si="2"/>
        <v>550</v>
      </c>
      <c r="C69" s="10" t="str">
        <f t="shared" si="0"/>
        <v>a</v>
      </c>
      <c r="D69" s="8">
        <f t="shared" si="3"/>
        <v>559.99</v>
      </c>
      <c r="E69" s="7">
        <v>23842</v>
      </c>
      <c r="F69" s="46">
        <v>554.99</v>
      </c>
      <c r="G69" s="46">
        <v>13232049.720000001</v>
      </c>
      <c r="J69" s="9">
        <f t="shared" si="4"/>
        <v>5500</v>
      </c>
      <c r="K69" s="10" t="str">
        <f t="shared" si="1"/>
        <v>a</v>
      </c>
      <c r="L69" s="8">
        <f t="shared" si="5"/>
        <v>5599.99</v>
      </c>
      <c r="M69" s="7">
        <v>1652</v>
      </c>
      <c r="N69" s="7">
        <v>51397</v>
      </c>
      <c r="O69" s="46">
        <v>5548.17</v>
      </c>
      <c r="P69" s="46">
        <v>9165575.7300000004</v>
      </c>
    </row>
    <row r="70" spans="2:16" ht="20.149999999999999" customHeight="1" x14ac:dyDescent="0.3">
      <c r="B70" s="9">
        <f t="shared" si="2"/>
        <v>560</v>
      </c>
      <c r="C70" s="10" t="str">
        <f t="shared" si="0"/>
        <v>a</v>
      </c>
      <c r="D70" s="8">
        <f t="shared" si="3"/>
        <v>569.99</v>
      </c>
      <c r="E70" s="7">
        <v>22438</v>
      </c>
      <c r="F70" s="46">
        <v>564.94000000000005</v>
      </c>
      <c r="G70" s="46">
        <v>12676151.390000001</v>
      </c>
      <c r="J70" s="9">
        <f t="shared" si="4"/>
        <v>5600</v>
      </c>
      <c r="K70" s="10" t="str">
        <f t="shared" si="1"/>
        <v>a</v>
      </c>
      <c r="L70" s="8">
        <f t="shared" si="5"/>
        <v>5699.99</v>
      </c>
      <c r="M70" s="7">
        <v>1437</v>
      </c>
      <c r="N70" s="7">
        <v>46485</v>
      </c>
      <c r="O70" s="46">
        <v>5649.78</v>
      </c>
      <c r="P70" s="46">
        <v>8118732.6100000003</v>
      </c>
    </row>
    <row r="71" spans="2:16" ht="20.149999999999999" customHeight="1" x14ac:dyDescent="0.3">
      <c r="B71" s="9">
        <f t="shared" si="2"/>
        <v>570</v>
      </c>
      <c r="C71" s="10" t="str">
        <f t="shared" si="0"/>
        <v>a</v>
      </c>
      <c r="D71" s="8">
        <f t="shared" si="3"/>
        <v>579.99</v>
      </c>
      <c r="E71" s="7">
        <v>21452</v>
      </c>
      <c r="F71" s="46">
        <v>574.97</v>
      </c>
      <c r="G71" s="46">
        <v>12334195.09</v>
      </c>
      <c r="J71" s="9">
        <f t="shared" si="4"/>
        <v>5700</v>
      </c>
      <c r="K71" s="10" t="str">
        <f t="shared" si="1"/>
        <v>a</v>
      </c>
      <c r="L71" s="8">
        <f t="shared" si="5"/>
        <v>5799.99</v>
      </c>
      <c r="M71" s="7">
        <v>1330</v>
      </c>
      <c r="N71" s="7">
        <v>43496</v>
      </c>
      <c r="O71" s="46">
        <v>5750.47</v>
      </c>
      <c r="P71" s="46">
        <v>7648121.7199999997</v>
      </c>
    </row>
    <row r="72" spans="2:16" ht="20.149999999999999" customHeight="1" x14ac:dyDescent="0.3">
      <c r="B72" s="9">
        <f t="shared" si="2"/>
        <v>580</v>
      </c>
      <c r="C72" s="10" t="str">
        <f t="shared" si="0"/>
        <v>a</v>
      </c>
      <c r="D72" s="8">
        <f t="shared" si="3"/>
        <v>589.99</v>
      </c>
      <c r="E72" s="7">
        <v>20446</v>
      </c>
      <c r="F72" s="46">
        <v>584.97</v>
      </c>
      <c r="G72" s="46">
        <v>11960208.800000001</v>
      </c>
      <c r="J72" s="9">
        <f t="shared" si="4"/>
        <v>5800</v>
      </c>
      <c r="K72" s="10" t="str">
        <f t="shared" si="1"/>
        <v>a</v>
      </c>
      <c r="L72" s="8">
        <f t="shared" si="5"/>
        <v>5899.99</v>
      </c>
      <c r="M72" s="7">
        <v>1226</v>
      </c>
      <c r="N72" s="7">
        <v>40366</v>
      </c>
      <c r="O72" s="46">
        <v>5849.29</v>
      </c>
      <c r="P72" s="46">
        <v>7171226.25</v>
      </c>
    </row>
    <row r="73" spans="2:16" ht="20.149999999999999" customHeight="1" x14ac:dyDescent="0.3">
      <c r="B73" s="9">
        <f t="shared" si="2"/>
        <v>590</v>
      </c>
      <c r="C73" s="10" t="str">
        <f t="shared" si="0"/>
        <v>a</v>
      </c>
      <c r="D73" s="8">
        <f t="shared" si="3"/>
        <v>599.99</v>
      </c>
      <c r="E73" s="7">
        <v>20329</v>
      </c>
      <c r="F73" s="46">
        <v>595.04999999999995</v>
      </c>
      <c r="G73" s="46">
        <v>12096755.65</v>
      </c>
      <c r="J73" s="9">
        <f t="shared" si="4"/>
        <v>5900</v>
      </c>
      <c r="K73" s="10" t="str">
        <f t="shared" si="1"/>
        <v>a</v>
      </c>
      <c r="L73" s="8">
        <f t="shared" si="5"/>
        <v>5999.99</v>
      </c>
      <c r="M73" s="7">
        <v>1202</v>
      </c>
      <c r="N73" s="7">
        <v>40155</v>
      </c>
      <c r="O73" s="46">
        <v>5949.62</v>
      </c>
      <c r="P73" s="46">
        <v>7151441.2199999997</v>
      </c>
    </row>
    <row r="74" spans="2:16" ht="20.149999999999999" customHeight="1" x14ac:dyDescent="0.3">
      <c r="B74" s="9">
        <f t="shared" si="2"/>
        <v>600</v>
      </c>
      <c r="C74" s="10" t="str">
        <f t="shared" si="0"/>
        <v>a</v>
      </c>
      <c r="D74" s="8">
        <f t="shared" si="3"/>
        <v>609.99</v>
      </c>
      <c r="E74" s="7">
        <v>19184</v>
      </c>
      <c r="F74" s="46">
        <v>604.91</v>
      </c>
      <c r="G74" s="46">
        <v>11604497.68</v>
      </c>
      <c r="J74" s="9">
        <f t="shared" si="4"/>
        <v>6000</v>
      </c>
      <c r="K74" s="10" t="str">
        <f t="shared" si="1"/>
        <v>a</v>
      </c>
      <c r="L74" s="8">
        <f t="shared" si="5"/>
        <v>6099.99</v>
      </c>
      <c r="M74" s="7">
        <v>1157</v>
      </c>
      <c r="N74" s="7">
        <v>38517</v>
      </c>
      <c r="O74" s="46">
        <v>6048.73</v>
      </c>
      <c r="P74" s="46">
        <v>6998384.5800000001</v>
      </c>
    </row>
    <row r="75" spans="2:16" ht="20.149999999999999" customHeight="1" x14ac:dyDescent="0.3">
      <c r="B75" s="9">
        <f t="shared" si="2"/>
        <v>610</v>
      </c>
      <c r="C75" s="10" t="str">
        <f t="shared" si="0"/>
        <v>a</v>
      </c>
      <c r="D75" s="8">
        <f t="shared" si="3"/>
        <v>619.99</v>
      </c>
      <c r="E75" s="7">
        <v>17774</v>
      </c>
      <c r="F75" s="46">
        <v>614.91</v>
      </c>
      <c r="G75" s="46">
        <v>10929495.66</v>
      </c>
      <c r="J75" s="9">
        <f t="shared" si="4"/>
        <v>6100</v>
      </c>
      <c r="K75" s="10" t="str">
        <f t="shared" si="1"/>
        <v>a</v>
      </c>
      <c r="L75" s="8">
        <f t="shared" si="5"/>
        <v>6199.99</v>
      </c>
      <c r="M75" s="7">
        <v>1085</v>
      </c>
      <c r="N75" s="7">
        <v>36723</v>
      </c>
      <c r="O75" s="46">
        <v>6150.75</v>
      </c>
      <c r="P75" s="46">
        <v>6673559.4299999997</v>
      </c>
    </row>
    <row r="76" spans="2:16" ht="20.149999999999999" customHeight="1" x14ac:dyDescent="0.3">
      <c r="B76" s="9">
        <f t="shared" si="2"/>
        <v>620</v>
      </c>
      <c r="C76" s="10" t="str">
        <f t="shared" si="0"/>
        <v>a</v>
      </c>
      <c r="D76" s="8">
        <f t="shared" si="3"/>
        <v>629.99</v>
      </c>
      <c r="E76" s="7">
        <v>16713</v>
      </c>
      <c r="F76" s="46">
        <v>624.91</v>
      </c>
      <c r="G76" s="46">
        <v>10444199.85</v>
      </c>
      <c r="J76" s="9">
        <f t="shared" si="4"/>
        <v>6200</v>
      </c>
      <c r="K76" s="10" t="str">
        <f t="shared" si="1"/>
        <v>a</v>
      </c>
      <c r="L76" s="8">
        <f t="shared" si="5"/>
        <v>6299.99</v>
      </c>
      <c r="M76" s="7">
        <v>999</v>
      </c>
      <c r="N76" s="7">
        <v>33605</v>
      </c>
      <c r="O76" s="46">
        <v>6249.69</v>
      </c>
      <c r="P76" s="46">
        <v>6243440.3099999996</v>
      </c>
    </row>
    <row r="77" spans="2:16" ht="20.149999999999999" customHeight="1" x14ac:dyDescent="0.3">
      <c r="B77" s="9">
        <f t="shared" si="2"/>
        <v>630</v>
      </c>
      <c r="C77" s="10" t="str">
        <f t="shared" si="0"/>
        <v>a</v>
      </c>
      <c r="D77" s="8">
        <f t="shared" si="3"/>
        <v>639.99</v>
      </c>
      <c r="E77" s="7">
        <v>16114</v>
      </c>
      <c r="F77" s="46">
        <v>634.98</v>
      </c>
      <c r="G77" s="46">
        <v>10232132.66</v>
      </c>
      <c r="J77" s="9">
        <f t="shared" si="4"/>
        <v>6300</v>
      </c>
      <c r="K77" s="10" t="str">
        <f t="shared" si="1"/>
        <v>a</v>
      </c>
      <c r="L77" s="8">
        <f t="shared" si="5"/>
        <v>6399.99</v>
      </c>
      <c r="M77" s="7">
        <v>953</v>
      </c>
      <c r="N77" s="7">
        <v>32802</v>
      </c>
      <c r="O77" s="46">
        <v>6348.14</v>
      </c>
      <c r="P77" s="46">
        <v>6049780.1600000001</v>
      </c>
    </row>
    <row r="78" spans="2:16" ht="20.149999999999999" customHeight="1" x14ac:dyDescent="0.3">
      <c r="B78" s="9">
        <f t="shared" si="2"/>
        <v>640</v>
      </c>
      <c r="C78" s="10" t="str">
        <f t="shared" si="0"/>
        <v>a</v>
      </c>
      <c r="D78" s="8">
        <f t="shared" si="3"/>
        <v>649.99</v>
      </c>
      <c r="E78" s="7">
        <v>15365</v>
      </c>
      <c r="F78" s="46">
        <v>645</v>
      </c>
      <c r="G78" s="46">
        <v>9910434.1999999993</v>
      </c>
      <c r="J78" s="9">
        <f t="shared" si="4"/>
        <v>6400</v>
      </c>
      <c r="K78" s="10" t="str">
        <f t="shared" si="1"/>
        <v>a</v>
      </c>
      <c r="L78" s="8">
        <f t="shared" si="5"/>
        <v>6499.99</v>
      </c>
      <c r="M78" s="7">
        <v>918</v>
      </c>
      <c r="N78" s="7">
        <v>32185</v>
      </c>
      <c r="O78" s="46">
        <v>6448.67</v>
      </c>
      <c r="P78" s="46">
        <v>5919882.0499999998</v>
      </c>
    </row>
    <row r="79" spans="2:16" ht="20.149999999999999" customHeight="1" x14ac:dyDescent="0.3">
      <c r="B79" s="9">
        <f t="shared" si="2"/>
        <v>650</v>
      </c>
      <c r="C79" s="10" t="str">
        <f t="shared" ref="C79:C113" si="6">C78</f>
        <v>a</v>
      </c>
      <c r="D79" s="8">
        <f t="shared" si="3"/>
        <v>659.99</v>
      </c>
      <c r="E79" s="7">
        <v>14773</v>
      </c>
      <c r="F79" s="46">
        <v>655.02</v>
      </c>
      <c r="G79" s="46">
        <v>9676542.2300000004</v>
      </c>
      <c r="J79" s="9">
        <f t="shared" si="4"/>
        <v>6500</v>
      </c>
      <c r="K79" s="10" t="str">
        <f t="shared" ref="K79:K113" si="7">K78</f>
        <v>a</v>
      </c>
      <c r="L79" s="8">
        <f t="shared" si="5"/>
        <v>6599.99</v>
      </c>
      <c r="M79" s="7">
        <v>847</v>
      </c>
      <c r="N79" s="7">
        <v>30459</v>
      </c>
      <c r="O79" s="46">
        <v>6550.45</v>
      </c>
      <c r="P79" s="46">
        <v>5548228.2199999997</v>
      </c>
    </row>
    <row r="80" spans="2:16" ht="20.149999999999999" customHeight="1" x14ac:dyDescent="0.3">
      <c r="B80" s="9">
        <f t="shared" ref="B80:B113" si="8">D79+0.01</f>
        <v>660</v>
      </c>
      <c r="C80" s="10" t="str">
        <f t="shared" si="6"/>
        <v>a</v>
      </c>
      <c r="D80" s="8">
        <f t="shared" ref="D80:D113" si="9">D79+$E$9</f>
        <v>669.99</v>
      </c>
      <c r="E80" s="7">
        <v>13858</v>
      </c>
      <c r="F80" s="46">
        <v>664.93</v>
      </c>
      <c r="G80" s="46">
        <v>9214542.4100000001</v>
      </c>
      <c r="J80" s="9">
        <f t="shared" ref="J80:J113" si="10">L79+0.01</f>
        <v>6600</v>
      </c>
      <c r="K80" s="10" t="str">
        <f t="shared" si="7"/>
        <v>a</v>
      </c>
      <c r="L80" s="8">
        <f t="shared" ref="L80:L113" si="11">J80+($E$9*10)-0.01</f>
        <v>6699.99</v>
      </c>
      <c r="M80" s="7">
        <v>786</v>
      </c>
      <c r="N80" s="7">
        <v>27935</v>
      </c>
      <c r="O80" s="46">
        <v>6649.66</v>
      </c>
      <c r="P80" s="46">
        <v>5226630.25</v>
      </c>
    </row>
    <row r="81" spans="2:16" ht="20.149999999999999" customHeight="1" x14ac:dyDescent="0.3">
      <c r="B81" s="9">
        <f t="shared" si="8"/>
        <v>670</v>
      </c>
      <c r="C81" s="10" t="str">
        <f t="shared" si="6"/>
        <v>a</v>
      </c>
      <c r="D81" s="8">
        <f t="shared" si="9"/>
        <v>679.99</v>
      </c>
      <c r="E81" s="7">
        <v>13247</v>
      </c>
      <c r="F81" s="46">
        <v>674.95</v>
      </c>
      <c r="G81" s="46">
        <v>8941011.6699999999</v>
      </c>
      <c r="J81" s="9">
        <f t="shared" si="10"/>
        <v>6700</v>
      </c>
      <c r="K81" s="10" t="str">
        <f t="shared" si="7"/>
        <v>a</v>
      </c>
      <c r="L81" s="8">
        <f t="shared" si="11"/>
        <v>6799.99</v>
      </c>
      <c r="M81" s="7">
        <v>776</v>
      </c>
      <c r="N81" s="7">
        <v>28005</v>
      </c>
      <c r="O81" s="46">
        <v>6750.13</v>
      </c>
      <c r="P81" s="46">
        <v>5238102.47</v>
      </c>
    </row>
    <row r="82" spans="2:16" ht="20.149999999999999" customHeight="1" x14ac:dyDescent="0.3">
      <c r="B82" s="9">
        <f t="shared" si="8"/>
        <v>680</v>
      </c>
      <c r="C82" s="10" t="str">
        <f t="shared" si="6"/>
        <v>a</v>
      </c>
      <c r="D82" s="8">
        <f t="shared" si="9"/>
        <v>689.99</v>
      </c>
      <c r="E82" s="7">
        <v>12850</v>
      </c>
      <c r="F82" s="46">
        <v>684.96</v>
      </c>
      <c r="G82" s="46">
        <v>8801716.6799999997</v>
      </c>
      <c r="J82" s="9">
        <f t="shared" si="10"/>
        <v>6800</v>
      </c>
      <c r="K82" s="10" t="str">
        <f t="shared" si="7"/>
        <v>a</v>
      </c>
      <c r="L82" s="8">
        <f t="shared" si="11"/>
        <v>6899.99</v>
      </c>
      <c r="M82" s="7">
        <v>678</v>
      </c>
      <c r="N82" s="7">
        <v>25386</v>
      </c>
      <c r="O82" s="46">
        <v>6850.26</v>
      </c>
      <c r="P82" s="46">
        <v>4644473.6100000003</v>
      </c>
    </row>
    <row r="83" spans="2:16" ht="20.149999999999999" customHeight="1" x14ac:dyDescent="0.3">
      <c r="B83" s="9">
        <f t="shared" si="8"/>
        <v>690</v>
      </c>
      <c r="C83" s="10" t="str">
        <f t="shared" si="6"/>
        <v>a</v>
      </c>
      <c r="D83" s="8">
        <f t="shared" si="9"/>
        <v>699.99</v>
      </c>
      <c r="E83" s="7">
        <v>12356</v>
      </c>
      <c r="F83" s="46">
        <v>695.01</v>
      </c>
      <c r="G83" s="46">
        <v>8587514.3900000006</v>
      </c>
      <c r="J83" s="9">
        <f t="shared" si="10"/>
        <v>6900</v>
      </c>
      <c r="K83" s="10" t="str">
        <f t="shared" si="7"/>
        <v>a</v>
      </c>
      <c r="L83" s="8">
        <f t="shared" si="11"/>
        <v>6999.99</v>
      </c>
      <c r="M83" s="7">
        <v>685</v>
      </c>
      <c r="N83" s="7">
        <v>25022</v>
      </c>
      <c r="O83" s="46">
        <v>6950.42</v>
      </c>
      <c r="P83" s="46">
        <v>4761035.6399999997</v>
      </c>
    </row>
    <row r="84" spans="2:16" ht="20.149999999999999" customHeight="1" x14ac:dyDescent="0.3">
      <c r="B84" s="9">
        <f t="shared" si="8"/>
        <v>700</v>
      </c>
      <c r="C84" s="10" t="str">
        <f t="shared" si="6"/>
        <v>a</v>
      </c>
      <c r="D84" s="8">
        <f t="shared" si="9"/>
        <v>709.99</v>
      </c>
      <c r="E84" s="7">
        <v>11556</v>
      </c>
      <c r="F84" s="46">
        <v>704.91</v>
      </c>
      <c r="G84" s="46">
        <v>8145924.8700000001</v>
      </c>
      <c r="J84" s="9">
        <f t="shared" si="10"/>
        <v>7000</v>
      </c>
      <c r="K84" s="10" t="str">
        <f t="shared" si="7"/>
        <v>a</v>
      </c>
      <c r="L84" s="8">
        <f t="shared" si="11"/>
        <v>7099.99</v>
      </c>
      <c r="M84" s="7">
        <v>598</v>
      </c>
      <c r="N84" s="7">
        <v>21462</v>
      </c>
      <c r="O84" s="46">
        <v>7049.28</v>
      </c>
      <c r="P84" s="46">
        <v>4215470.4800000004</v>
      </c>
    </row>
    <row r="85" spans="2:16" ht="20.149999999999999" customHeight="1" x14ac:dyDescent="0.3">
      <c r="B85" s="9">
        <f t="shared" si="8"/>
        <v>710</v>
      </c>
      <c r="C85" s="10" t="str">
        <f t="shared" si="6"/>
        <v>a</v>
      </c>
      <c r="D85" s="8">
        <f t="shared" si="9"/>
        <v>719.99</v>
      </c>
      <c r="E85" s="7">
        <v>11215</v>
      </c>
      <c r="F85" s="46">
        <v>715.03</v>
      </c>
      <c r="G85" s="46">
        <v>8019030.4500000002</v>
      </c>
      <c r="J85" s="9">
        <f t="shared" si="10"/>
        <v>7100</v>
      </c>
      <c r="K85" s="10" t="str">
        <f t="shared" si="7"/>
        <v>a</v>
      </c>
      <c r="L85" s="8">
        <f t="shared" si="11"/>
        <v>7199.99</v>
      </c>
      <c r="M85" s="7">
        <v>544</v>
      </c>
      <c r="N85" s="7">
        <v>20122</v>
      </c>
      <c r="O85" s="46">
        <v>7149.57</v>
      </c>
      <c r="P85" s="46">
        <v>3889363.97</v>
      </c>
    </row>
    <row r="86" spans="2:16" ht="20.149999999999999" customHeight="1" x14ac:dyDescent="0.3">
      <c r="B86" s="9">
        <f t="shared" si="8"/>
        <v>720</v>
      </c>
      <c r="C86" s="10" t="str">
        <f t="shared" si="6"/>
        <v>a</v>
      </c>
      <c r="D86" s="8">
        <f t="shared" si="9"/>
        <v>729.99</v>
      </c>
      <c r="E86" s="7">
        <v>10663</v>
      </c>
      <c r="F86" s="46">
        <v>724.96</v>
      </c>
      <c r="G86" s="46">
        <v>7730230.3600000003</v>
      </c>
      <c r="J86" s="9">
        <f t="shared" si="10"/>
        <v>7200</v>
      </c>
      <c r="K86" s="10" t="str">
        <f t="shared" si="7"/>
        <v>a</v>
      </c>
      <c r="L86" s="8">
        <f t="shared" si="11"/>
        <v>7299.99</v>
      </c>
      <c r="M86" s="7">
        <v>554</v>
      </c>
      <c r="N86" s="7">
        <v>20001</v>
      </c>
      <c r="O86" s="46">
        <v>7250.27</v>
      </c>
      <c r="P86" s="46">
        <v>4016648.77</v>
      </c>
    </row>
    <row r="87" spans="2:16" ht="20.149999999999999" customHeight="1" x14ac:dyDescent="0.3">
      <c r="B87" s="9">
        <f t="shared" si="8"/>
        <v>730</v>
      </c>
      <c r="C87" s="10" t="str">
        <f t="shared" si="6"/>
        <v>a</v>
      </c>
      <c r="D87" s="8">
        <f t="shared" si="9"/>
        <v>739.99</v>
      </c>
      <c r="E87" s="7">
        <v>10052</v>
      </c>
      <c r="F87" s="46">
        <v>734.96</v>
      </c>
      <c r="G87" s="46">
        <v>7387796.1100000003</v>
      </c>
      <c r="J87" s="9">
        <f t="shared" si="10"/>
        <v>7300</v>
      </c>
      <c r="K87" s="10" t="str">
        <f t="shared" si="7"/>
        <v>a</v>
      </c>
      <c r="L87" s="8">
        <f t="shared" si="11"/>
        <v>7399.99</v>
      </c>
      <c r="M87" s="7">
        <v>518</v>
      </c>
      <c r="N87" s="7">
        <v>20299</v>
      </c>
      <c r="O87" s="46">
        <v>7349.52</v>
      </c>
      <c r="P87" s="46">
        <v>3807049.01</v>
      </c>
    </row>
    <row r="88" spans="2:16" ht="20.149999999999999" customHeight="1" x14ac:dyDescent="0.3">
      <c r="B88" s="9">
        <f t="shared" si="8"/>
        <v>740</v>
      </c>
      <c r="C88" s="10" t="str">
        <f t="shared" si="6"/>
        <v>a</v>
      </c>
      <c r="D88" s="8">
        <f t="shared" si="9"/>
        <v>749.99</v>
      </c>
      <c r="E88" s="7">
        <v>9725</v>
      </c>
      <c r="F88" s="46">
        <v>744.93</v>
      </c>
      <c r="G88" s="46">
        <v>7244445.7599999998</v>
      </c>
      <c r="J88" s="9">
        <f t="shared" si="10"/>
        <v>7400</v>
      </c>
      <c r="K88" s="10" t="str">
        <f t="shared" si="7"/>
        <v>a</v>
      </c>
      <c r="L88" s="8">
        <f t="shared" si="11"/>
        <v>7499.99</v>
      </c>
      <c r="M88" s="7">
        <v>492</v>
      </c>
      <c r="N88" s="7">
        <v>18344</v>
      </c>
      <c r="O88" s="46">
        <v>7447.06</v>
      </c>
      <c r="P88" s="46">
        <v>3663953.37</v>
      </c>
    </row>
    <row r="89" spans="2:16" ht="20.149999999999999" customHeight="1" x14ac:dyDescent="0.3">
      <c r="B89" s="9">
        <f t="shared" si="8"/>
        <v>750</v>
      </c>
      <c r="C89" s="10" t="str">
        <f t="shared" si="6"/>
        <v>a</v>
      </c>
      <c r="D89" s="8">
        <f t="shared" si="9"/>
        <v>759.99</v>
      </c>
      <c r="E89" s="7">
        <v>9246</v>
      </c>
      <c r="F89" s="46">
        <v>754.96</v>
      </c>
      <c r="G89" s="46">
        <v>6980321.6100000003</v>
      </c>
      <c r="J89" s="9">
        <f t="shared" si="10"/>
        <v>7500</v>
      </c>
      <c r="K89" s="10" t="str">
        <f t="shared" si="7"/>
        <v>a</v>
      </c>
      <c r="L89" s="8">
        <f t="shared" si="11"/>
        <v>7599.99</v>
      </c>
      <c r="M89" s="7">
        <v>435</v>
      </c>
      <c r="N89" s="7">
        <v>16448</v>
      </c>
      <c r="O89" s="46">
        <v>7545.8</v>
      </c>
      <c r="P89" s="46">
        <v>3282423.79</v>
      </c>
    </row>
    <row r="90" spans="2:16" ht="20.149999999999999" customHeight="1" x14ac:dyDescent="0.3">
      <c r="B90" s="9">
        <f t="shared" si="8"/>
        <v>760</v>
      </c>
      <c r="C90" s="10" t="str">
        <f t="shared" si="6"/>
        <v>a</v>
      </c>
      <c r="D90" s="8">
        <f t="shared" si="9"/>
        <v>769.99</v>
      </c>
      <c r="E90" s="7">
        <v>8783</v>
      </c>
      <c r="F90" s="46">
        <v>764.96</v>
      </c>
      <c r="G90" s="46">
        <v>6718626.1900000004</v>
      </c>
      <c r="J90" s="9">
        <f t="shared" si="10"/>
        <v>7600</v>
      </c>
      <c r="K90" s="10" t="str">
        <f t="shared" si="7"/>
        <v>a</v>
      </c>
      <c r="L90" s="8">
        <f t="shared" si="11"/>
        <v>7699.99</v>
      </c>
      <c r="M90" s="7">
        <v>447</v>
      </c>
      <c r="N90" s="7">
        <v>17120</v>
      </c>
      <c r="O90" s="46">
        <v>7648.86</v>
      </c>
      <c r="P90" s="46">
        <v>3419039.4</v>
      </c>
    </row>
    <row r="91" spans="2:16" ht="20.149999999999999" customHeight="1" x14ac:dyDescent="0.3">
      <c r="B91" s="9">
        <f t="shared" si="8"/>
        <v>770</v>
      </c>
      <c r="C91" s="10" t="str">
        <f t="shared" si="6"/>
        <v>a</v>
      </c>
      <c r="D91" s="8">
        <f t="shared" si="9"/>
        <v>779.99</v>
      </c>
      <c r="E91" s="7">
        <v>8391</v>
      </c>
      <c r="F91" s="46">
        <v>775.03</v>
      </c>
      <c r="G91" s="46">
        <v>6503309.7999999998</v>
      </c>
      <c r="J91" s="9">
        <f t="shared" si="10"/>
        <v>7700</v>
      </c>
      <c r="K91" s="10" t="str">
        <f t="shared" si="7"/>
        <v>a</v>
      </c>
      <c r="L91" s="8">
        <f t="shared" si="11"/>
        <v>7799.99</v>
      </c>
      <c r="M91" s="7">
        <v>409</v>
      </c>
      <c r="N91" s="7">
        <v>16225</v>
      </c>
      <c r="O91" s="46">
        <v>7749.81</v>
      </c>
      <c r="P91" s="46">
        <v>3169673.63</v>
      </c>
    </row>
    <row r="92" spans="2:16" ht="20.149999999999999" customHeight="1" x14ac:dyDescent="0.3">
      <c r="B92" s="9">
        <f t="shared" si="8"/>
        <v>780</v>
      </c>
      <c r="C92" s="10" t="str">
        <f t="shared" si="6"/>
        <v>a</v>
      </c>
      <c r="D92" s="8">
        <f t="shared" si="9"/>
        <v>789.99</v>
      </c>
      <c r="E92" s="7">
        <v>8211</v>
      </c>
      <c r="F92" s="46">
        <v>785.03</v>
      </c>
      <c r="G92" s="46">
        <v>6445854.6799999997</v>
      </c>
      <c r="J92" s="9">
        <f t="shared" si="10"/>
        <v>7800</v>
      </c>
      <c r="K92" s="10" t="str">
        <f t="shared" si="7"/>
        <v>a</v>
      </c>
      <c r="L92" s="8">
        <f t="shared" si="11"/>
        <v>7899.99</v>
      </c>
      <c r="M92" s="7">
        <v>390</v>
      </c>
      <c r="N92" s="7">
        <v>15463</v>
      </c>
      <c r="O92" s="46">
        <v>7849.55</v>
      </c>
      <c r="P92" s="46">
        <v>3061326.23</v>
      </c>
    </row>
    <row r="93" spans="2:16" ht="20.149999999999999" customHeight="1" x14ac:dyDescent="0.3">
      <c r="B93" s="9">
        <f t="shared" si="8"/>
        <v>790</v>
      </c>
      <c r="C93" s="10" t="str">
        <f t="shared" si="6"/>
        <v>a</v>
      </c>
      <c r="D93" s="8">
        <f t="shared" si="9"/>
        <v>799.99</v>
      </c>
      <c r="E93" s="7">
        <v>7857</v>
      </c>
      <c r="F93" s="46">
        <v>794.95</v>
      </c>
      <c r="G93" s="46">
        <v>6245945.6200000001</v>
      </c>
      <c r="J93" s="9">
        <f t="shared" si="10"/>
        <v>7900</v>
      </c>
      <c r="K93" s="10" t="str">
        <f t="shared" si="7"/>
        <v>a</v>
      </c>
      <c r="L93" s="8">
        <f t="shared" si="11"/>
        <v>7999.99</v>
      </c>
      <c r="M93" s="7">
        <v>348</v>
      </c>
      <c r="N93" s="7">
        <v>14134</v>
      </c>
      <c r="O93" s="46">
        <v>7949.95</v>
      </c>
      <c r="P93" s="46">
        <v>2766580.89</v>
      </c>
    </row>
    <row r="94" spans="2:16" ht="20.149999999999999" customHeight="1" x14ac:dyDescent="0.3">
      <c r="B94" s="9">
        <f t="shared" si="8"/>
        <v>800</v>
      </c>
      <c r="C94" s="10" t="str">
        <f t="shared" si="6"/>
        <v>a</v>
      </c>
      <c r="D94" s="8">
        <f t="shared" si="9"/>
        <v>809.99</v>
      </c>
      <c r="E94" s="7">
        <v>7609</v>
      </c>
      <c r="F94" s="46">
        <v>804.93</v>
      </c>
      <c r="G94" s="46">
        <v>6124679.6100000003</v>
      </c>
      <c r="J94" s="9">
        <f t="shared" si="10"/>
        <v>8000</v>
      </c>
      <c r="K94" s="10" t="str">
        <f t="shared" si="7"/>
        <v>a</v>
      </c>
      <c r="L94" s="8">
        <f t="shared" si="11"/>
        <v>8099.99</v>
      </c>
      <c r="M94" s="7">
        <v>341</v>
      </c>
      <c r="N94" s="7">
        <v>13389</v>
      </c>
      <c r="O94" s="46">
        <v>8051.41</v>
      </c>
      <c r="P94" s="46">
        <v>2745531.96</v>
      </c>
    </row>
    <row r="95" spans="2:16" ht="20.149999999999999" customHeight="1" x14ac:dyDescent="0.3">
      <c r="B95" s="9">
        <f t="shared" si="8"/>
        <v>810</v>
      </c>
      <c r="C95" s="10" t="str">
        <f t="shared" si="6"/>
        <v>a</v>
      </c>
      <c r="D95" s="8">
        <f t="shared" si="9"/>
        <v>819.99</v>
      </c>
      <c r="E95" s="7">
        <v>7241</v>
      </c>
      <c r="F95" s="46">
        <v>814.92</v>
      </c>
      <c r="G95" s="46">
        <v>5900813.71</v>
      </c>
      <c r="J95" s="9">
        <f t="shared" si="10"/>
        <v>8100</v>
      </c>
      <c r="K95" s="10" t="str">
        <f t="shared" si="7"/>
        <v>a</v>
      </c>
      <c r="L95" s="8">
        <f t="shared" si="11"/>
        <v>8199.99</v>
      </c>
      <c r="M95" s="7">
        <v>334</v>
      </c>
      <c r="N95" s="7">
        <v>13480</v>
      </c>
      <c r="O95" s="46">
        <v>8151.07</v>
      </c>
      <c r="P95" s="46">
        <v>2722457.9</v>
      </c>
    </row>
    <row r="96" spans="2:16" ht="20.149999999999999" customHeight="1" x14ac:dyDescent="0.3">
      <c r="B96" s="9">
        <f t="shared" si="8"/>
        <v>820</v>
      </c>
      <c r="C96" s="10" t="str">
        <f t="shared" si="6"/>
        <v>a</v>
      </c>
      <c r="D96" s="8">
        <f t="shared" si="9"/>
        <v>829.99</v>
      </c>
      <c r="E96" s="7">
        <v>6707</v>
      </c>
      <c r="F96" s="46">
        <v>824.99</v>
      </c>
      <c r="G96" s="46">
        <v>5533188.6900000004</v>
      </c>
      <c r="J96" s="9">
        <f t="shared" si="10"/>
        <v>8200</v>
      </c>
      <c r="K96" s="10" t="str">
        <f t="shared" si="7"/>
        <v>a</v>
      </c>
      <c r="L96" s="8">
        <f t="shared" si="11"/>
        <v>8299.99</v>
      </c>
      <c r="M96" s="7">
        <v>309</v>
      </c>
      <c r="N96" s="7">
        <v>12528</v>
      </c>
      <c r="O96" s="46">
        <v>8249.32</v>
      </c>
      <c r="P96" s="46">
        <v>2549039.08</v>
      </c>
    </row>
    <row r="97" spans="2:16" ht="20.149999999999999" customHeight="1" x14ac:dyDescent="0.3">
      <c r="B97" s="9">
        <f t="shared" si="8"/>
        <v>830</v>
      </c>
      <c r="C97" s="10" t="str">
        <f t="shared" si="6"/>
        <v>a</v>
      </c>
      <c r="D97" s="8">
        <f t="shared" si="9"/>
        <v>839.99</v>
      </c>
      <c r="E97" s="7">
        <v>6672</v>
      </c>
      <c r="F97" s="46">
        <v>835.01</v>
      </c>
      <c r="G97" s="46">
        <v>5571214.3099999996</v>
      </c>
      <c r="J97" s="9">
        <f t="shared" si="10"/>
        <v>8300</v>
      </c>
      <c r="K97" s="10" t="str">
        <f t="shared" si="7"/>
        <v>a</v>
      </c>
      <c r="L97" s="8">
        <f t="shared" si="11"/>
        <v>8399.99</v>
      </c>
      <c r="M97" s="7">
        <v>318</v>
      </c>
      <c r="N97" s="7">
        <v>13177</v>
      </c>
      <c r="O97" s="46">
        <v>8346.9</v>
      </c>
      <c r="P97" s="46">
        <v>2654315.6800000002</v>
      </c>
    </row>
    <row r="98" spans="2:16" ht="20.149999999999999" customHeight="1" x14ac:dyDescent="0.3">
      <c r="B98" s="9">
        <f t="shared" si="8"/>
        <v>840</v>
      </c>
      <c r="C98" s="10" t="str">
        <f t="shared" si="6"/>
        <v>a</v>
      </c>
      <c r="D98" s="8">
        <f t="shared" si="9"/>
        <v>849.99</v>
      </c>
      <c r="E98" s="7">
        <v>6159</v>
      </c>
      <c r="F98" s="46">
        <v>844.92</v>
      </c>
      <c r="G98" s="46">
        <v>5203840.97</v>
      </c>
      <c r="J98" s="9">
        <f t="shared" si="10"/>
        <v>8400</v>
      </c>
      <c r="K98" s="10" t="str">
        <f t="shared" si="7"/>
        <v>a</v>
      </c>
      <c r="L98" s="8">
        <f t="shared" si="11"/>
        <v>8499.99</v>
      </c>
      <c r="M98" s="7">
        <v>303</v>
      </c>
      <c r="N98" s="7">
        <v>12353</v>
      </c>
      <c r="O98" s="46">
        <v>8449.44</v>
      </c>
      <c r="P98" s="46">
        <v>2560179.7999999998</v>
      </c>
    </row>
    <row r="99" spans="2:16" ht="20.149999999999999" customHeight="1" x14ac:dyDescent="0.3">
      <c r="B99" s="9">
        <f t="shared" si="8"/>
        <v>850</v>
      </c>
      <c r="C99" s="10" t="str">
        <f t="shared" si="6"/>
        <v>a</v>
      </c>
      <c r="D99" s="8">
        <f t="shared" si="9"/>
        <v>859.99</v>
      </c>
      <c r="E99" s="7">
        <v>5897</v>
      </c>
      <c r="F99" s="46">
        <v>854.88</v>
      </c>
      <c r="G99" s="46">
        <v>5041237.37</v>
      </c>
      <c r="J99" s="9">
        <f t="shared" si="10"/>
        <v>8500</v>
      </c>
      <c r="K99" s="10" t="str">
        <f t="shared" si="7"/>
        <v>a</v>
      </c>
      <c r="L99" s="8">
        <f t="shared" si="11"/>
        <v>8599.99</v>
      </c>
      <c r="M99" s="7">
        <v>301</v>
      </c>
      <c r="N99" s="7">
        <v>11849</v>
      </c>
      <c r="O99" s="46">
        <v>8549.1</v>
      </c>
      <c r="P99" s="46">
        <v>2573279.5699999998</v>
      </c>
    </row>
    <row r="100" spans="2:16" ht="20.149999999999999" customHeight="1" x14ac:dyDescent="0.3">
      <c r="B100" s="9">
        <f t="shared" si="8"/>
        <v>860</v>
      </c>
      <c r="C100" s="10" t="str">
        <f t="shared" si="6"/>
        <v>a</v>
      </c>
      <c r="D100" s="8">
        <f t="shared" si="9"/>
        <v>869.99</v>
      </c>
      <c r="E100" s="7">
        <v>5813</v>
      </c>
      <c r="F100" s="46">
        <v>864.91</v>
      </c>
      <c r="G100" s="46">
        <v>5027707.1100000003</v>
      </c>
      <c r="J100" s="9">
        <f t="shared" si="10"/>
        <v>8600</v>
      </c>
      <c r="K100" s="10" t="str">
        <f t="shared" si="7"/>
        <v>a</v>
      </c>
      <c r="L100" s="8">
        <f t="shared" si="11"/>
        <v>8699.99</v>
      </c>
      <c r="M100" s="7">
        <v>247</v>
      </c>
      <c r="N100" s="7">
        <v>10190</v>
      </c>
      <c r="O100" s="46">
        <v>8649.32</v>
      </c>
      <c r="P100" s="46">
        <v>2136382.36</v>
      </c>
    </row>
    <row r="101" spans="2:16" ht="20.149999999999999" customHeight="1" x14ac:dyDescent="0.3">
      <c r="B101" s="9">
        <f t="shared" si="8"/>
        <v>870</v>
      </c>
      <c r="C101" s="10" t="str">
        <f t="shared" si="6"/>
        <v>a</v>
      </c>
      <c r="D101" s="8">
        <f t="shared" si="9"/>
        <v>879.99</v>
      </c>
      <c r="E101" s="7">
        <v>5510</v>
      </c>
      <c r="F101" s="46">
        <v>874.92</v>
      </c>
      <c r="G101" s="46">
        <v>4820816</v>
      </c>
      <c r="J101" s="9">
        <f t="shared" si="10"/>
        <v>8700</v>
      </c>
      <c r="K101" s="10" t="str">
        <f t="shared" si="7"/>
        <v>a</v>
      </c>
      <c r="L101" s="8">
        <f t="shared" si="11"/>
        <v>8799.99</v>
      </c>
      <c r="M101" s="7">
        <v>264</v>
      </c>
      <c r="N101" s="7">
        <v>11231</v>
      </c>
      <c r="O101" s="46">
        <v>8748.2800000000007</v>
      </c>
      <c r="P101" s="46">
        <v>2309544.9</v>
      </c>
    </row>
    <row r="102" spans="2:16" ht="20.149999999999999" customHeight="1" x14ac:dyDescent="0.3">
      <c r="B102" s="9">
        <f t="shared" si="8"/>
        <v>880</v>
      </c>
      <c r="C102" s="10" t="str">
        <f t="shared" si="6"/>
        <v>a</v>
      </c>
      <c r="D102" s="8">
        <f t="shared" si="9"/>
        <v>889.99</v>
      </c>
      <c r="E102" s="7">
        <v>5137</v>
      </c>
      <c r="F102" s="46">
        <v>884.98</v>
      </c>
      <c r="G102" s="46">
        <v>4546163.68</v>
      </c>
      <c r="J102" s="9">
        <f t="shared" si="10"/>
        <v>8800</v>
      </c>
      <c r="K102" s="10" t="str">
        <f t="shared" si="7"/>
        <v>a</v>
      </c>
      <c r="L102" s="8">
        <f t="shared" si="11"/>
        <v>8899.99</v>
      </c>
      <c r="M102" s="7">
        <v>226</v>
      </c>
      <c r="N102" s="7">
        <v>9422</v>
      </c>
      <c r="O102" s="46">
        <v>8851.7099999999991</v>
      </c>
      <c r="P102" s="46">
        <v>2000487.35</v>
      </c>
    </row>
    <row r="103" spans="2:16" ht="20.149999999999999" customHeight="1" x14ac:dyDescent="0.3">
      <c r="B103" s="9">
        <f t="shared" si="8"/>
        <v>890</v>
      </c>
      <c r="C103" s="10" t="str">
        <f t="shared" si="6"/>
        <v>a</v>
      </c>
      <c r="D103" s="8">
        <f t="shared" si="9"/>
        <v>899.99</v>
      </c>
      <c r="E103" s="7">
        <v>5143</v>
      </c>
      <c r="F103" s="46">
        <v>894.98</v>
      </c>
      <c r="G103" s="46">
        <v>4602879.43</v>
      </c>
      <c r="J103" s="9">
        <f t="shared" si="10"/>
        <v>8900</v>
      </c>
      <c r="K103" s="10" t="str">
        <f t="shared" si="7"/>
        <v>a</v>
      </c>
      <c r="L103" s="8">
        <f t="shared" si="11"/>
        <v>8999.99</v>
      </c>
      <c r="M103" s="7">
        <v>208</v>
      </c>
      <c r="N103" s="7">
        <v>9048</v>
      </c>
      <c r="O103" s="46">
        <v>8946.85</v>
      </c>
      <c r="P103" s="46">
        <v>1860945.33</v>
      </c>
    </row>
    <row r="104" spans="2:16" ht="20.149999999999999" customHeight="1" x14ac:dyDescent="0.3">
      <c r="B104" s="9">
        <f t="shared" si="8"/>
        <v>900</v>
      </c>
      <c r="C104" s="10" t="str">
        <f t="shared" si="6"/>
        <v>a</v>
      </c>
      <c r="D104" s="8">
        <f t="shared" si="9"/>
        <v>909.99</v>
      </c>
      <c r="E104" s="7">
        <v>4878</v>
      </c>
      <c r="F104" s="46">
        <v>904.94</v>
      </c>
      <c r="G104" s="46">
        <v>4414316.97</v>
      </c>
      <c r="J104" s="9">
        <f t="shared" si="10"/>
        <v>9000</v>
      </c>
      <c r="K104" s="10" t="str">
        <f t="shared" si="7"/>
        <v>a</v>
      </c>
      <c r="L104" s="8">
        <f t="shared" si="11"/>
        <v>9099.99</v>
      </c>
      <c r="M104" s="7">
        <v>210</v>
      </c>
      <c r="N104" s="7">
        <v>8783</v>
      </c>
      <c r="O104" s="46">
        <v>9050.5400000000009</v>
      </c>
      <c r="P104" s="46">
        <v>1900613.15</v>
      </c>
    </row>
    <row r="105" spans="2:16" ht="20.149999999999999" customHeight="1" x14ac:dyDescent="0.3">
      <c r="B105" s="9">
        <f t="shared" si="8"/>
        <v>910</v>
      </c>
      <c r="C105" s="10" t="str">
        <f t="shared" si="6"/>
        <v>a</v>
      </c>
      <c r="D105" s="8">
        <f t="shared" si="9"/>
        <v>919.99</v>
      </c>
      <c r="E105" s="7">
        <v>4582</v>
      </c>
      <c r="F105" s="46">
        <v>915</v>
      </c>
      <c r="G105" s="46">
        <v>4192529.28</v>
      </c>
      <c r="J105" s="9">
        <f t="shared" si="10"/>
        <v>9100</v>
      </c>
      <c r="K105" s="10" t="str">
        <f t="shared" si="7"/>
        <v>a</v>
      </c>
      <c r="L105" s="8">
        <f t="shared" si="11"/>
        <v>9199.99</v>
      </c>
      <c r="M105" s="7">
        <v>210</v>
      </c>
      <c r="N105" s="7">
        <v>9226</v>
      </c>
      <c r="O105" s="46">
        <v>9152.7900000000009</v>
      </c>
      <c r="P105" s="46">
        <v>1922085.16</v>
      </c>
    </row>
    <row r="106" spans="2:16" ht="20.149999999999999" customHeight="1" x14ac:dyDescent="0.3">
      <c r="B106" s="9">
        <f t="shared" si="8"/>
        <v>920</v>
      </c>
      <c r="C106" s="10" t="str">
        <f t="shared" si="6"/>
        <v>a</v>
      </c>
      <c r="D106" s="8">
        <f t="shared" si="9"/>
        <v>929.99</v>
      </c>
      <c r="E106" s="7">
        <v>4433</v>
      </c>
      <c r="F106" s="46">
        <v>924.97</v>
      </c>
      <c r="G106" s="46">
        <v>4100398.76</v>
      </c>
      <c r="J106" s="9">
        <f t="shared" si="10"/>
        <v>9200</v>
      </c>
      <c r="K106" s="10" t="str">
        <f t="shared" si="7"/>
        <v>a</v>
      </c>
      <c r="L106" s="8">
        <f t="shared" si="11"/>
        <v>9299.99</v>
      </c>
      <c r="M106" s="7">
        <v>188</v>
      </c>
      <c r="N106" s="7">
        <v>8169</v>
      </c>
      <c r="O106" s="46">
        <v>9250.57</v>
      </c>
      <c r="P106" s="46">
        <v>1739107.19</v>
      </c>
    </row>
    <row r="107" spans="2:16" ht="20.149999999999999" customHeight="1" x14ac:dyDescent="0.3">
      <c r="B107" s="9">
        <f t="shared" si="8"/>
        <v>930</v>
      </c>
      <c r="C107" s="10" t="str">
        <f t="shared" si="6"/>
        <v>a</v>
      </c>
      <c r="D107" s="8">
        <f t="shared" si="9"/>
        <v>939.99</v>
      </c>
      <c r="E107" s="7">
        <v>4291</v>
      </c>
      <c r="F107" s="46">
        <v>934.97</v>
      </c>
      <c r="G107" s="46">
        <v>4011956.13</v>
      </c>
      <c r="J107" s="9">
        <f t="shared" si="10"/>
        <v>9300</v>
      </c>
      <c r="K107" s="10" t="str">
        <f t="shared" si="7"/>
        <v>a</v>
      </c>
      <c r="L107" s="8">
        <f t="shared" si="11"/>
        <v>9399.99</v>
      </c>
      <c r="M107" s="7">
        <v>201</v>
      </c>
      <c r="N107" s="7">
        <v>8699</v>
      </c>
      <c r="O107" s="46">
        <v>9347.52</v>
      </c>
      <c r="P107" s="46">
        <v>1878851.51</v>
      </c>
    </row>
    <row r="108" spans="2:16" ht="20.149999999999999" customHeight="1" x14ac:dyDescent="0.3">
      <c r="B108" s="9">
        <f t="shared" si="8"/>
        <v>940</v>
      </c>
      <c r="C108" s="10" t="str">
        <f t="shared" si="6"/>
        <v>a</v>
      </c>
      <c r="D108" s="8">
        <f t="shared" si="9"/>
        <v>949.99</v>
      </c>
      <c r="E108" s="7">
        <v>4114</v>
      </c>
      <c r="F108" s="46">
        <v>944.93</v>
      </c>
      <c r="G108" s="46">
        <v>3887456.98</v>
      </c>
      <c r="J108" s="9">
        <f t="shared" si="10"/>
        <v>9400</v>
      </c>
      <c r="K108" s="10" t="str">
        <f t="shared" si="7"/>
        <v>a</v>
      </c>
      <c r="L108" s="8">
        <f t="shared" si="11"/>
        <v>9499.99</v>
      </c>
      <c r="M108" s="7">
        <v>156</v>
      </c>
      <c r="N108" s="7">
        <v>6746</v>
      </c>
      <c r="O108" s="46">
        <v>9449.6200000000008</v>
      </c>
      <c r="P108" s="46">
        <v>1474141.23</v>
      </c>
    </row>
    <row r="109" spans="2:16" ht="20.149999999999999" customHeight="1" x14ac:dyDescent="0.3">
      <c r="B109" s="9">
        <f t="shared" si="8"/>
        <v>950</v>
      </c>
      <c r="C109" s="10" t="str">
        <f t="shared" si="6"/>
        <v>a</v>
      </c>
      <c r="D109" s="8">
        <f t="shared" si="9"/>
        <v>959.99</v>
      </c>
      <c r="E109" s="7">
        <v>3948</v>
      </c>
      <c r="F109" s="46">
        <v>955</v>
      </c>
      <c r="G109" s="46">
        <v>3770343.52</v>
      </c>
      <c r="J109" s="9">
        <f t="shared" si="10"/>
        <v>9500</v>
      </c>
      <c r="K109" s="10" t="str">
        <f t="shared" si="7"/>
        <v>a</v>
      </c>
      <c r="L109" s="8">
        <f t="shared" si="11"/>
        <v>9599.99</v>
      </c>
      <c r="M109" s="7">
        <v>150</v>
      </c>
      <c r="N109" s="7">
        <v>6103</v>
      </c>
      <c r="O109" s="46">
        <v>9550.4500000000007</v>
      </c>
      <c r="P109" s="46">
        <v>1432567.39</v>
      </c>
    </row>
    <row r="110" spans="2:16" ht="20.149999999999999" customHeight="1" x14ac:dyDescent="0.3">
      <c r="B110" s="9">
        <f t="shared" si="8"/>
        <v>960</v>
      </c>
      <c r="C110" s="10" t="str">
        <f t="shared" si="6"/>
        <v>a</v>
      </c>
      <c r="D110" s="8">
        <f t="shared" si="9"/>
        <v>969.99</v>
      </c>
      <c r="E110" s="7">
        <v>3714</v>
      </c>
      <c r="F110" s="46">
        <v>964.97</v>
      </c>
      <c r="G110" s="46">
        <v>3583909.34</v>
      </c>
      <c r="J110" s="9">
        <f t="shared" si="10"/>
        <v>9600</v>
      </c>
      <c r="K110" s="10" t="str">
        <f t="shared" si="7"/>
        <v>a</v>
      </c>
      <c r="L110" s="8">
        <f t="shared" si="11"/>
        <v>9699.99</v>
      </c>
      <c r="M110" s="7">
        <v>165</v>
      </c>
      <c r="N110" s="7">
        <v>7437</v>
      </c>
      <c r="O110" s="46">
        <v>9650.84</v>
      </c>
      <c r="P110" s="46">
        <v>1592389.41</v>
      </c>
    </row>
    <row r="111" spans="2:16" ht="20.149999999999999" customHeight="1" x14ac:dyDescent="0.3">
      <c r="B111" s="9">
        <f t="shared" si="8"/>
        <v>970</v>
      </c>
      <c r="C111" s="10" t="str">
        <f t="shared" si="6"/>
        <v>a</v>
      </c>
      <c r="D111" s="8">
        <f t="shared" si="9"/>
        <v>979.99</v>
      </c>
      <c r="E111" s="7">
        <v>3628</v>
      </c>
      <c r="F111" s="46">
        <v>975.02</v>
      </c>
      <c r="G111" s="46">
        <v>3537356.29</v>
      </c>
      <c r="J111" s="9">
        <f t="shared" si="10"/>
        <v>9700</v>
      </c>
      <c r="K111" s="10" t="str">
        <f t="shared" si="7"/>
        <v>a</v>
      </c>
      <c r="L111" s="8">
        <f t="shared" si="11"/>
        <v>9799.99</v>
      </c>
      <c r="M111" s="7">
        <v>160</v>
      </c>
      <c r="N111" s="7">
        <v>7366</v>
      </c>
      <c r="O111" s="46">
        <v>9749.5</v>
      </c>
      <c r="P111" s="46">
        <v>1559919.73</v>
      </c>
    </row>
    <row r="112" spans="2:16" ht="20.149999999999999" customHeight="1" x14ac:dyDescent="0.3">
      <c r="B112" s="9">
        <f t="shared" si="8"/>
        <v>980</v>
      </c>
      <c r="C112" s="10" t="str">
        <f t="shared" si="6"/>
        <v>a</v>
      </c>
      <c r="D112" s="8">
        <f t="shared" si="9"/>
        <v>989.99</v>
      </c>
      <c r="E112" s="7">
        <v>3655</v>
      </c>
      <c r="F112" s="46">
        <v>985.01</v>
      </c>
      <c r="G112" s="46">
        <v>3600197.74</v>
      </c>
      <c r="J112" s="9">
        <f t="shared" si="10"/>
        <v>9800</v>
      </c>
      <c r="K112" s="10" t="str">
        <f t="shared" si="7"/>
        <v>a</v>
      </c>
      <c r="L112" s="8">
        <f t="shared" si="11"/>
        <v>9899.99</v>
      </c>
      <c r="M112" s="7">
        <v>170</v>
      </c>
      <c r="N112" s="7">
        <v>7804</v>
      </c>
      <c r="O112" s="46">
        <v>9850.84</v>
      </c>
      <c r="P112" s="46">
        <v>1674642.11</v>
      </c>
    </row>
    <row r="113" spans="2:16" ht="20.149999999999999" customHeight="1" x14ac:dyDescent="0.3">
      <c r="B113" s="9">
        <f t="shared" si="8"/>
        <v>990</v>
      </c>
      <c r="C113" s="10" t="str">
        <f t="shared" si="6"/>
        <v>a</v>
      </c>
      <c r="D113" s="8">
        <f t="shared" si="9"/>
        <v>999.99</v>
      </c>
      <c r="E113" s="7">
        <v>3532</v>
      </c>
      <c r="F113" s="46">
        <v>995.07</v>
      </c>
      <c r="G113" s="46">
        <v>3514600.38</v>
      </c>
      <c r="J113" s="9">
        <f t="shared" si="10"/>
        <v>9900</v>
      </c>
      <c r="K113" s="10" t="str">
        <f t="shared" si="7"/>
        <v>a</v>
      </c>
      <c r="L113" s="8">
        <f t="shared" si="11"/>
        <v>9999.99</v>
      </c>
      <c r="M113" s="7">
        <v>144</v>
      </c>
      <c r="N113" s="7">
        <v>7308</v>
      </c>
      <c r="O113" s="46">
        <v>9941.3700000000008</v>
      </c>
      <c r="P113" s="46">
        <v>1431557.56</v>
      </c>
    </row>
    <row r="114" spans="2:16" s="57" customFormat="1" ht="20.149999999999999" customHeight="1" thickBot="1" x14ac:dyDescent="0.35">
      <c r="B114" s="52" t="s">
        <v>34</v>
      </c>
      <c r="C114" s="53"/>
      <c r="D114" s="54">
        <v>1000</v>
      </c>
      <c r="E114" s="55">
        <v>92978</v>
      </c>
      <c r="F114" s="56">
        <v>1740.16</v>
      </c>
      <c r="G114" s="56">
        <v>161796813.53999999</v>
      </c>
      <c r="J114" s="52" t="s">
        <v>34</v>
      </c>
      <c r="K114" s="53"/>
      <c r="L114" s="54">
        <v>10000</v>
      </c>
      <c r="M114" s="55">
        <v>4559</v>
      </c>
      <c r="N114" s="55">
        <v>276912</v>
      </c>
      <c r="O114" s="56">
        <v>20363.43</v>
      </c>
      <c r="P114" s="56">
        <v>92836858.120000005</v>
      </c>
    </row>
    <row r="115" spans="2:16" ht="20.149999999999999" customHeight="1" thickBot="1" x14ac:dyDescent="0.35">
      <c r="B115" s="23"/>
      <c r="C115" s="24"/>
      <c r="D115" s="25"/>
      <c r="E115" s="11"/>
      <c r="F115" s="11"/>
      <c r="G115" s="11"/>
      <c r="J115" s="23"/>
      <c r="K115" s="24"/>
      <c r="L115" s="25"/>
      <c r="M115" s="11">
        <f>SUM(M14:M114)</f>
        <v>1933634</v>
      </c>
      <c r="N115" s="11">
        <f>SUM(N14:N114)</f>
        <v>16480653</v>
      </c>
      <c r="O115" s="11"/>
      <c r="P115" s="11">
        <f>SUM(P14:P114)</f>
        <v>1919626838.5799999</v>
      </c>
    </row>
    <row r="116" spans="2:16" ht="20.149999999999999" customHeight="1" x14ac:dyDescent="0.3"/>
    <row r="117" spans="2:16" ht="20.149999999999999" customHeight="1" x14ac:dyDescent="0.3"/>
    <row r="118" spans="2:16" ht="20.149999999999999" customHeight="1" x14ac:dyDescent="0.3"/>
    <row r="119" spans="2:16" ht="20.149999999999999" customHeight="1" x14ac:dyDescent="0.3"/>
    <row r="120" spans="2:16" ht="20.149999999999999" customHeight="1" x14ac:dyDescent="0.3"/>
    <row r="121" spans="2:16" ht="20.149999999999999" customHeight="1" x14ac:dyDescent="0.3"/>
    <row r="122" spans="2:16" ht="20.149999999999999" customHeight="1" x14ac:dyDescent="0.3"/>
    <row r="123" spans="2:16" ht="20.149999999999999" customHeight="1" x14ac:dyDescent="0.3"/>
    <row r="124" spans="2:16" ht="20.149999999999999" customHeight="1" x14ac:dyDescent="0.3"/>
    <row r="125" spans="2:16" ht="20.149999999999999" customHeight="1" x14ac:dyDescent="0.3"/>
    <row r="126" spans="2:16" ht="20.149999999999999" customHeight="1" x14ac:dyDescent="0.3"/>
    <row r="127" spans="2:16" ht="20.149999999999999" customHeight="1" x14ac:dyDescent="0.3"/>
    <row r="128" spans="2:16" ht="20.149999999999999" customHeight="1" x14ac:dyDescent="0.3"/>
    <row r="129" ht="20.149999999999999" customHeight="1" x14ac:dyDescent="0.3"/>
    <row r="130" ht="20.149999999999999" customHeight="1" x14ac:dyDescent="0.3"/>
    <row r="131" ht="20.149999999999999" customHeight="1" x14ac:dyDescent="0.3"/>
    <row r="132" ht="20.149999999999999" customHeight="1" x14ac:dyDescent="0.3"/>
    <row r="133" ht="20.149999999999999" customHeight="1" x14ac:dyDescent="0.3"/>
    <row r="134" ht="20.149999999999999" customHeight="1" x14ac:dyDescent="0.3"/>
    <row r="135" ht="20.149999999999999" customHeight="1" x14ac:dyDescent="0.3"/>
  </sheetData>
  <mergeCells count="11">
    <mergeCell ref="B9:D9"/>
    <mergeCell ref="J9:L9"/>
    <mergeCell ref="B13:D13"/>
    <mergeCell ref="J13:L13"/>
    <mergeCell ref="J11:P12"/>
    <mergeCell ref="B6:E6"/>
    <mergeCell ref="J6:M6"/>
    <mergeCell ref="B7:D7"/>
    <mergeCell ref="J7:L7"/>
    <mergeCell ref="B8:D8"/>
    <mergeCell ref="J8:L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A48B-319C-4F8E-8D36-F14AA90FD689}">
  <dimension ref="B2:J157"/>
  <sheetViews>
    <sheetView showGridLines="0" zoomScale="80" zoomScaleNormal="80" workbookViewId="0">
      <selection activeCell="D8" sqref="D8"/>
    </sheetView>
  </sheetViews>
  <sheetFormatPr defaultRowHeight="13.5" x14ac:dyDescent="0.3"/>
  <cols>
    <col min="2" max="2" width="7.765625" style="22" bestFit="1" customWidth="1"/>
    <col min="3" max="3" width="13.4609375" bestFit="1" customWidth="1"/>
    <col min="4" max="4" width="13.921875" bestFit="1" customWidth="1"/>
    <col min="5" max="5" width="17.53515625" style="20" customWidth="1"/>
    <col min="6" max="6" width="22.3046875" bestFit="1" customWidth="1"/>
    <col min="7" max="7" width="20.921875" style="22" bestFit="1" customWidth="1"/>
    <col min="9" max="9" width="30.765625" customWidth="1"/>
    <col min="10" max="10" width="34.84375" customWidth="1"/>
  </cols>
  <sheetData>
    <row r="2" spans="2:10" ht="14.5" x14ac:dyDescent="0.3">
      <c r="E2" s="40" t="s">
        <v>35</v>
      </c>
    </row>
    <row r="4" spans="2:10" ht="14" thickBot="1" x14ac:dyDescent="0.35"/>
    <row r="5" spans="2:10" ht="14.15" customHeight="1" thickBot="1" x14ac:dyDescent="0.35">
      <c r="B5" s="38" t="s">
        <v>368</v>
      </c>
      <c r="C5" s="38" t="s">
        <v>44</v>
      </c>
      <c r="D5" s="38" t="s">
        <v>36</v>
      </c>
      <c r="E5" s="38" t="s">
        <v>37</v>
      </c>
      <c r="F5" s="38" t="s">
        <v>103</v>
      </c>
      <c r="G5" s="38" t="s">
        <v>367</v>
      </c>
      <c r="I5" s="41" t="s">
        <v>38</v>
      </c>
    </row>
    <row r="6" spans="2:10" x14ac:dyDescent="0.3">
      <c r="B6" s="43">
        <v>1</v>
      </c>
      <c r="C6" s="42" t="s">
        <v>45</v>
      </c>
      <c r="D6" s="42" t="s">
        <v>46</v>
      </c>
      <c r="E6" s="42" t="s">
        <v>366</v>
      </c>
      <c r="F6" s="42" t="s">
        <v>56</v>
      </c>
      <c r="G6" s="43">
        <v>10</v>
      </c>
      <c r="I6" s="42"/>
    </row>
    <row r="7" spans="2:10" x14ac:dyDescent="0.3">
      <c r="B7" s="43">
        <v>2</v>
      </c>
      <c r="C7" s="42" t="s">
        <v>45</v>
      </c>
      <c r="D7" s="42" t="s">
        <v>47</v>
      </c>
      <c r="E7" s="42" t="s">
        <v>366</v>
      </c>
      <c r="F7" s="42" t="s">
        <v>57</v>
      </c>
      <c r="G7" s="43">
        <v>5</v>
      </c>
      <c r="I7" s="20"/>
    </row>
    <row r="8" spans="2:10" ht="14" thickBot="1" x14ac:dyDescent="0.35">
      <c r="B8" s="43">
        <v>3</v>
      </c>
      <c r="C8" s="42" t="s">
        <v>45</v>
      </c>
      <c r="D8" s="42" t="s">
        <v>48</v>
      </c>
      <c r="E8" s="42" t="s">
        <v>100</v>
      </c>
      <c r="F8" s="42" t="s">
        <v>56</v>
      </c>
      <c r="G8" s="43">
        <v>9</v>
      </c>
      <c r="I8" s="20"/>
    </row>
    <row r="9" spans="2:10" ht="14" thickBot="1" x14ac:dyDescent="0.35">
      <c r="B9" s="43">
        <v>4</v>
      </c>
      <c r="C9" s="42" t="s">
        <v>45</v>
      </c>
      <c r="D9" s="42" t="s">
        <v>49</v>
      </c>
      <c r="E9" s="42" t="s">
        <v>366</v>
      </c>
      <c r="F9" s="42" t="s">
        <v>58</v>
      </c>
      <c r="G9" s="43">
        <v>22</v>
      </c>
      <c r="I9" s="41" t="s">
        <v>39</v>
      </c>
      <c r="J9" s="18" t="s">
        <v>40</v>
      </c>
    </row>
    <row r="10" spans="2:10" x14ac:dyDescent="0.3">
      <c r="B10" s="43">
        <v>5</v>
      </c>
      <c r="C10" s="42" t="s">
        <v>45</v>
      </c>
      <c r="D10" s="42" t="s">
        <v>50</v>
      </c>
      <c r="E10" s="42" t="s">
        <v>101</v>
      </c>
      <c r="F10" s="42" t="s">
        <v>56</v>
      </c>
      <c r="G10" s="43">
        <v>8</v>
      </c>
      <c r="I10" s="42"/>
      <c r="J10" s="19"/>
    </row>
    <row r="11" spans="2:10" ht="14" thickBot="1" x14ac:dyDescent="0.35">
      <c r="B11" s="43">
        <v>6</v>
      </c>
      <c r="C11" s="42" t="s">
        <v>45</v>
      </c>
      <c r="D11" s="42" t="s">
        <v>51</v>
      </c>
      <c r="E11" s="42" t="s">
        <v>366</v>
      </c>
      <c r="F11" s="42" t="s">
        <v>59</v>
      </c>
      <c r="G11" s="43">
        <v>15</v>
      </c>
      <c r="I11" s="20"/>
    </row>
    <row r="12" spans="2:10" ht="14" thickBot="1" x14ac:dyDescent="0.35">
      <c r="B12" s="43">
        <v>7</v>
      </c>
      <c r="C12" s="42" t="s">
        <v>45</v>
      </c>
      <c r="D12" s="42" t="s">
        <v>52</v>
      </c>
      <c r="E12" s="42" t="s">
        <v>362</v>
      </c>
      <c r="F12" s="42" t="s">
        <v>56</v>
      </c>
      <c r="G12" s="43">
        <v>13</v>
      </c>
      <c r="I12" s="41" t="s">
        <v>41</v>
      </c>
    </row>
    <row r="13" spans="2:10" x14ac:dyDescent="0.3">
      <c r="B13" s="43">
        <v>8</v>
      </c>
      <c r="C13" s="42" t="s">
        <v>45</v>
      </c>
      <c r="D13" s="42" t="s">
        <v>53</v>
      </c>
      <c r="E13" s="42" t="s">
        <v>366</v>
      </c>
      <c r="F13" s="42" t="s">
        <v>60</v>
      </c>
      <c r="G13" s="43">
        <v>11</v>
      </c>
      <c r="I13" s="39"/>
    </row>
    <row r="14" spans="2:10" ht="14" thickBot="1" x14ac:dyDescent="0.35">
      <c r="B14" s="43">
        <v>9</v>
      </c>
      <c r="C14" s="42" t="s">
        <v>45</v>
      </c>
      <c r="D14" s="42" t="s">
        <v>54</v>
      </c>
      <c r="E14" s="42" t="s">
        <v>366</v>
      </c>
      <c r="F14" s="42" t="s">
        <v>59</v>
      </c>
      <c r="G14" s="43">
        <v>18</v>
      </c>
    </row>
    <row r="15" spans="2:10" ht="14" thickBot="1" x14ac:dyDescent="0.35">
      <c r="B15" s="43">
        <v>10</v>
      </c>
      <c r="C15" s="42" t="s">
        <v>45</v>
      </c>
      <c r="D15" s="42" t="s">
        <v>55</v>
      </c>
      <c r="E15" s="42" t="s">
        <v>102</v>
      </c>
      <c r="F15" s="42" t="s">
        <v>61</v>
      </c>
      <c r="G15" s="43">
        <v>7</v>
      </c>
      <c r="I15" s="41" t="s">
        <v>42</v>
      </c>
    </row>
    <row r="16" spans="2:10" x14ac:dyDescent="0.3">
      <c r="B16" s="43">
        <v>11</v>
      </c>
      <c r="C16" s="42" t="s">
        <v>77</v>
      </c>
      <c r="D16" s="42" t="s">
        <v>78</v>
      </c>
      <c r="E16" s="42" t="s">
        <v>201</v>
      </c>
      <c r="F16" s="42" t="s">
        <v>358</v>
      </c>
      <c r="G16" s="43">
        <v>27</v>
      </c>
      <c r="I16" s="39"/>
    </row>
    <row r="17" spans="2:7" x14ac:dyDescent="0.3">
      <c r="B17" s="43">
        <v>12</v>
      </c>
      <c r="C17" s="42" t="s">
        <v>77</v>
      </c>
      <c r="D17" s="42" t="s">
        <v>79</v>
      </c>
      <c r="E17" s="42" t="s">
        <v>365</v>
      </c>
      <c r="F17" s="42" t="s">
        <v>62</v>
      </c>
      <c r="G17" s="43">
        <v>10</v>
      </c>
    </row>
    <row r="18" spans="2:7" x14ac:dyDescent="0.3">
      <c r="B18" s="43">
        <v>13</v>
      </c>
      <c r="C18" s="42" t="s">
        <v>77</v>
      </c>
      <c r="D18" s="42" t="s">
        <v>80</v>
      </c>
      <c r="E18" s="42" t="s">
        <v>363</v>
      </c>
      <c r="F18" s="42" t="s">
        <v>63</v>
      </c>
      <c r="G18" s="43">
        <v>23</v>
      </c>
    </row>
    <row r="19" spans="2:7" x14ac:dyDescent="0.3">
      <c r="B19" s="43">
        <v>14</v>
      </c>
      <c r="C19" s="42" t="s">
        <v>77</v>
      </c>
      <c r="D19" s="42" t="s">
        <v>81</v>
      </c>
      <c r="E19" s="42" t="s">
        <v>322</v>
      </c>
      <c r="F19" s="42" t="s">
        <v>64</v>
      </c>
      <c r="G19" s="43">
        <v>18</v>
      </c>
    </row>
    <row r="20" spans="2:7" x14ac:dyDescent="0.3">
      <c r="B20" s="43">
        <v>15</v>
      </c>
      <c r="C20" s="42" t="s">
        <v>77</v>
      </c>
      <c r="D20" s="42" t="s">
        <v>82</v>
      </c>
      <c r="E20" s="42" t="s">
        <v>201</v>
      </c>
      <c r="F20" s="42" t="s">
        <v>65</v>
      </c>
      <c r="G20" s="43">
        <v>18</v>
      </c>
    </row>
    <row r="21" spans="2:7" x14ac:dyDescent="0.3">
      <c r="B21" s="43">
        <v>16</v>
      </c>
      <c r="C21" s="42" t="s">
        <v>77</v>
      </c>
      <c r="D21" s="42" t="s">
        <v>83</v>
      </c>
      <c r="E21" s="42" t="s">
        <v>201</v>
      </c>
      <c r="F21" s="42" t="s">
        <v>357</v>
      </c>
      <c r="G21" s="43">
        <v>18</v>
      </c>
    </row>
    <row r="22" spans="2:7" x14ac:dyDescent="0.3">
      <c r="B22" s="43">
        <v>17</v>
      </c>
      <c r="C22" s="42" t="s">
        <v>77</v>
      </c>
      <c r="D22" s="42" t="s">
        <v>84</v>
      </c>
      <c r="E22" s="42" t="s">
        <v>201</v>
      </c>
      <c r="F22" s="42" t="s">
        <v>66</v>
      </c>
      <c r="G22" s="43">
        <v>30</v>
      </c>
    </row>
    <row r="23" spans="2:7" x14ac:dyDescent="0.3">
      <c r="B23" s="43">
        <v>18</v>
      </c>
      <c r="C23" s="42" t="s">
        <v>77</v>
      </c>
      <c r="D23" s="42" t="s">
        <v>85</v>
      </c>
      <c r="E23" s="42" t="s">
        <v>201</v>
      </c>
      <c r="F23" s="42" t="s">
        <v>67</v>
      </c>
      <c r="G23" s="43">
        <v>21</v>
      </c>
    </row>
    <row r="24" spans="2:7" x14ac:dyDescent="0.3">
      <c r="B24" s="43">
        <v>19</v>
      </c>
      <c r="C24" s="42" t="s">
        <v>77</v>
      </c>
      <c r="D24" s="42" t="s">
        <v>86</v>
      </c>
      <c r="E24" s="42" t="s">
        <v>201</v>
      </c>
      <c r="F24" s="42" t="s">
        <v>68</v>
      </c>
      <c r="G24" s="43">
        <v>18</v>
      </c>
    </row>
    <row r="25" spans="2:7" x14ac:dyDescent="0.3">
      <c r="B25" s="43">
        <v>20</v>
      </c>
      <c r="C25" s="42" t="s">
        <v>77</v>
      </c>
      <c r="D25" s="42" t="s">
        <v>87</v>
      </c>
      <c r="E25" s="42" t="s">
        <v>201</v>
      </c>
      <c r="F25" s="42" t="s">
        <v>69</v>
      </c>
      <c r="G25" s="43">
        <v>20</v>
      </c>
    </row>
    <row r="26" spans="2:7" x14ac:dyDescent="0.3">
      <c r="B26" s="43">
        <v>21</v>
      </c>
      <c r="C26" s="42" t="s">
        <v>77</v>
      </c>
      <c r="D26" s="42" t="s">
        <v>88</v>
      </c>
      <c r="E26" s="42" t="s">
        <v>201</v>
      </c>
      <c r="F26" s="42" t="s">
        <v>359</v>
      </c>
      <c r="G26" s="43">
        <v>8</v>
      </c>
    </row>
    <row r="27" spans="2:7" x14ac:dyDescent="0.3">
      <c r="B27" s="43">
        <v>22</v>
      </c>
      <c r="C27" s="42" t="s">
        <v>77</v>
      </c>
      <c r="D27" s="42" t="s">
        <v>89</v>
      </c>
      <c r="E27" s="42" t="s">
        <v>201</v>
      </c>
      <c r="F27" s="42" t="s">
        <v>360</v>
      </c>
      <c r="G27" s="43">
        <v>27</v>
      </c>
    </row>
    <row r="28" spans="2:7" x14ac:dyDescent="0.3">
      <c r="B28" s="43">
        <v>23</v>
      </c>
      <c r="C28" s="42" t="s">
        <v>77</v>
      </c>
      <c r="D28" s="42" t="s">
        <v>90</v>
      </c>
      <c r="E28" s="42" t="s">
        <v>201</v>
      </c>
      <c r="F28" s="42" t="s">
        <v>70</v>
      </c>
      <c r="G28" s="43">
        <v>18</v>
      </c>
    </row>
    <row r="29" spans="2:7" x14ac:dyDescent="0.3">
      <c r="B29" s="43">
        <v>24</v>
      </c>
      <c r="C29" s="42" t="s">
        <v>77</v>
      </c>
      <c r="D29" s="42" t="s">
        <v>91</v>
      </c>
      <c r="E29" s="42" t="s">
        <v>201</v>
      </c>
      <c r="F29" s="42" t="s">
        <v>361</v>
      </c>
      <c r="G29" s="43">
        <v>18</v>
      </c>
    </row>
    <row r="30" spans="2:7" x14ac:dyDescent="0.3">
      <c r="B30" s="43">
        <v>25</v>
      </c>
      <c r="C30" s="42" t="s">
        <v>77</v>
      </c>
      <c r="D30" s="42" t="s">
        <v>92</v>
      </c>
      <c r="E30" s="42" t="s">
        <v>201</v>
      </c>
      <c r="F30" s="42" t="s">
        <v>71</v>
      </c>
      <c r="G30" s="43">
        <v>20</v>
      </c>
    </row>
    <row r="31" spans="2:7" x14ac:dyDescent="0.3">
      <c r="B31" s="43">
        <v>26</v>
      </c>
      <c r="C31" s="42" t="s">
        <v>77</v>
      </c>
      <c r="D31" s="42" t="s">
        <v>93</v>
      </c>
      <c r="E31" s="42" t="s">
        <v>201</v>
      </c>
      <c r="F31" s="42" t="s">
        <v>70</v>
      </c>
      <c r="G31" s="43">
        <v>20</v>
      </c>
    </row>
    <row r="32" spans="2:7" x14ac:dyDescent="0.3">
      <c r="B32" s="43">
        <v>27</v>
      </c>
      <c r="C32" s="42" t="s">
        <v>77</v>
      </c>
      <c r="D32" s="42" t="s">
        <v>94</v>
      </c>
      <c r="E32" s="42" t="s">
        <v>201</v>
      </c>
      <c r="F32" s="42" t="s">
        <v>72</v>
      </c>
      <c r="G32" s="43">
        <v>16</v>
      </c>
    </row>
    <row r="33" spans="2:7" x14ac:dyDescent="0.3">
      <c r="B33" s="43">
        <v>28</v>
      </c>
      <c r="C33" s="42" t="s">
        <v>77</v>
      </c>
      <c r="D33" s="42" t="s">
        <v>95</v>
      </c>
      <c r="E33" s="42" t="s">
        <v>201</v>
      </c>
      <c r="F33" s="42" t="s">
        <v>73</v>
      </c>
      <c r="G33" s="43">
        <v>20</v>
      </c>
    </row>
    <row r="34" spans="2:7" x14ac:dyDescent="0.3">
      <c r="B34" s="43">
        <v>29</v>
      </c>
      <c r="C34" s="42" t="s">
        <v>77</v>
      </c>
      <c r="D34" s="42" t="s">
        <v>96</v>
      </c>
      <c r="E34" s="42" t="s">
        <v>201</v>
      </c>
      <c r="F34" s="42" t="s">
        <v>69</v>
      </c>
      <c r="G34" s="43">
        <v>15</v>
      </c>
    </row>
    <row r="35" spans="2:7" x14ac:dyDescent="0.3">
      <c r="B35" s="43">
        <v>30</v>
      </c>
      <c r="C35" s="42" t="s">
        <v>77</v>
      </c>
      <c r="D35" s="42" t="s">
        <v>97</v>
      </c>
      <c r="E35" s="42" t="s">
        <v>201</v>
      </c>
      <c r="F35" s="42" t="s">
        <v>74</v>
      </c>
      <c r="G35" s="43">
        <v>22</v>
      </c>
    </row>
    <row r="36" spans="2:7" x14ac:dyDescent="0.3">
      <c r="B36" s="43">
        <v>31</v>
      </c>
      <c r="C36" s="42" t="s">
        <v>77</v>
      </c>
      <c r="D36" s="42" t="s">
        <v>98</v>
      </c>
      <c r="E36" s="42" t="s">
        <v>201</v>
      </c>
      <c r="F36" s="42" t="s">
        <v>75</v>
      </c>
      <c r="G36" s="43">
        <v>16</v>
      </c>
    </row>
    <row r="37" spans="2:7" x14ac:dyDescent="0.3">
      <c r="B37" s="43">
        <v>32</v>
      </c>
      <c r="C37" s="42" t="s">
        <v>77</v>
      </c>
      <c r="D37" s="42" t="s">
        <v>99</v>
      </c>
      <c r="E37" s="42" t="s">
        <v>201</v>
      </c>
      <c r="F37" s="42" t="s">
        <v>76</v>
      </c>
      <c r="G37" s="43">
        <v>26</v>
      </c>
    </row>
    <row r="38" spans="2:7" x14ac:dyDescent="0.3">
      <c r="B38" s="43">
        <v>33</v>
      </c>
      <c r="C38" s="42" t="s">
        <v>118</v>
      </c>
      <c r="D38" s="42" t="s">
        <v>119</v>
      </c>
      <c r="E38" s="42" t="s">
        <v>365</v>
      </c>
      <c r="F38" s="42" t="s">
        <v>104</v>
      </c>
      <c r="G38" s="43">
        <v>11</v>
      </c>
    </row>
    <row r="39" spans="2:7" x14ac:dyDescent="0.3">
      <c r="B39" s="43">
        <v>34</v>
      </c>
      <c r="C39" s="42" t="s">
        <v>118</v>
      </c>
      <c r="D39" s="42" t="s">
        <v>120</v>
      </c>
      <c r="E39" s="42" t="s">
        <v>363</v>
      </c>
      <c r="F39" s="42" t="s">
        <v>56</v>
      </c>
      <c r="G39" s="43">
        <v>5</v>
      </c>
    </row>
    <row r="40" spans="2:7" x14ac:dyDescent="0.3">
      <c r="B40" s="43">
        <v>35</v>
      </c>
      <c r="C40" s="42" t="s">
        <v>118</v>
      </c>
      <c r="D40" s="42" t="s">
        <v>121</v>
      </c>
      <c r="E40" s="42" t="s">
        <v>365</v>
      </c>
      <c r="F40" s="42" t="s">
        <v>105</v>
      </c>
      <c r="G40" s="43">
        <v>20</v>
      </c>
    </row>
    <row r="41" spans="2:7" x14ac:dyDescent="0.3">
      <c r="B41" s="43">
        <v>36</v>
      </c>
      <c r="C41" s="42" t="s">
        <v>118</v>
      </c>
      <c r="D41" s="42" t="s">
        <v>122</v>
      </c>
      <c r="E41" s="42" t="s">
        <v>74</v>
      </c>
      <c r="F41" s="42" t="s">
        <v>106</v>
      </c>
      <c r="G41" s="43">
        <v>12</v>
      </c>
    </row>
    <row r="42" spans="2:7" x14ac:dyDescent="0.3">
      <c r="B42" s="43">
        <v>37</v>
      </c>
      <c r="C42" s="42" t="s">
        <v>118</v>
      </c>
      <c r="D42" s="42" t="s">
        <v>123</v>
      </c>
      <c r="E42" s="42" t="s">
        <v>365</v>
      </c>
      <c r="F42" s="42" t="s">
        <v>107</v>
      </c>
      <c r="G42" s="43">
        <v>12</v>
      </c>
    </row>
    <row r="43" spans="2:7" x14ac:dyDescent="0.3">
      <c r="B43" s="43">
        <v>38</v>
      </c>
      <c r="C43" s="42" t="s">
        <v>118</v>
      </c>
      <c r="D43" s="42" t="s">
        <v>124</v>
      </c>
      <c r="E43" s="42" t="s">
        <v>108</v>
      </c>
      <c r="F43" s="42" t="s">
        <v>109</v>
      </c>
      <c r="G43" s="43">
        <v>22</v>
      </c>
    </row>
    <row r="44" spans="2:7" x14ac:dyDescent="0.3">
      <c r="B44" s="43">
        <v>39</v>
      </c>
      <c r="C44" s="42" t="s">
        <v>118</v>
      </c>
      <c r="D44" s="42" t="s">
        <v>125</v>
      </c>
      <c r="E44" s="42" t="s">
        <v>201</v>
      </c>
      <c r="F44" s="42" t="s">
        <v>110</v>
      </c>
      <c r="G44" s="43">
        <v>16</v>
      </c>
    </row>
    <row r="45" spans="2:7" x14ac:dyDescent="0.3">
      <c r="B45" s="43">
        <v>40</v>
      </c>
      <c r="C45" s="42" t="s">
        <v>118</v>
      </c>
      <c r="D45" s="42" t="s">
        <v>126</v>
      </c>
      <c r="E45" s="42" t="s">
        <v>201</v>
      </c>
      <c r="F45" s="42" t="s">
        <v>111</v>
      </c>
      <c r="G45" s="43">
        <v>18</v>
      </c>
    </row>
    <row r="46" spans="2:7" x14ac:dyDescent="0.3">
      <c r="B46" s="43">
        <v>41</v>
      </c>
      <c r="C46" s="42" t="s">
        <v>118</v>
      </c>
      <c r="D46" s="42" t="s">
        <v>127</v>
      </c>
      <c r="E46" s="42" t="s">
        <v>201</v>
      </c>
      <c r="F46" s="42" t="s">
        <v>112</v>
      </c>
      <c r="G46" s="43">
        <v>16</v>
      </c>
    </row>
    <row r="47" spans="2:7" x14ac:dyDescent="0.3">
      <c r="B47" s="43">
        <v>42</v>
      </c>
      <c r="C47" s="42" t="s">
        <v>118</v>
      </c>
      <c r="D47" s="42" t="s">
        <v>128</v>
      </c>
      <c r="E47" s="42" t="s">
        <v>201</v>
      </c>
      <c r="F47" s="42" t="s">
        <v>113</v>
      </c>
      <c r="G47" s="43">
        <v>16</v>
      </c>
    </row>
    <row r="48" spans="2:7" x14ac:dyDescent="0.3">
      <c r="B48" s="43">
        <v>43</v>
      </c>
      <c r="C48" s="42" t="s">
        <v>118</v>
      </c>
      <c r="D48" s="42" t="s">
        <v>129</v>
      </c>
      <c r="E48" s="42" t="s">
        <v>74</v>
      </c>
      <c r="F48" s="42" t="s">
        <v>114</v>
      </c>
      <c r="G48" s="43">
        <v>18</v>
      </c>
    </row>
    <row r="49" spans="2:7" x14ac:dyDescent="0.3">
      <c r="B49" s="43">
        <v>44</v>
      </c>
      <c r="C49" s="42" t="s">
        <v>118</v>
      </c>
      <c r="D49" s="42" t="s">
        <v>130</v>
      </c>
      <c r="E49" s="42" t="s">
        <v>74</v>
      </c>
      <c r="F49" s="42" t="s">
        <v>115</v>
      </c>
      <c r="G49" s="43">
        <v>21</v>
      </c>
    </row>
    <row r="50" spans="2:7" x14ac:dyDescent="0.3">
      <c r="B50" s="43">
        <v>45</v>
      </c>
      <c r="C50" s="42" t="s">
        <v>118</v>
      </c>
      <c r="D50" s="42" t="s">
        <v>131</v>
      </c>
      <c r="E50" s="42" t="s">
        <v>116</v>
      </c>
      <c r="F50" s="42" t="s">
        <v>117</v>
      </c>
      <c r="G50" s="43">
        <v>26</v>
      </c>
    </row>
    <row r="51" spans="2:7" x14ac:dyDescent="0.3">
      <c r="B51" s="43">
        <v>46</v>
      </c>
      <c r="C51" s="42" t="s">
        <v>140</v>
      </c>
      <c r="D51" s="42" t="s">
        <v>141</v>
      </c>
      <c r="E51" s="42" t="s">
        <v>201</v>
      </c>
      <c r="F51" s="42" t="s">
        <v>132</v>
      </c>
      <c r="G51" s="43">
        <v>21</v>
      </c>
    </row>
    <row r="52" spans="2:7" x14ac:dyDescent="0.3">
      <c r="B52" s="43">
        <v>47</v>
      </c>
      <c r="C52" s="42" t="s">
        <v>140</v>
      </c>
      <c r="D52" s="42" t="s">
        <v>142</v>
      </c>
      <c r="E52" s="42" t="s">
        <v>201</v>
      </c>
      <c r="F52" s="42" t="s">
        <v>133</v>
      </c>
      <c r="G52" s="43">
        <v>12</v>
      </c>
    </row>
    <row r="53" spans="2:7" x14ac:dyDescent="0.3">
      <c r="B53" s="43">
        <v>48</v>
      </c>
      <c r="C53" s="42" t="s">
        <v>140</v>
      </c>
      <c r="D53" s="42" t="s">
        <v>143</v>
      </c>
      <c r="E53" s="42" t="s">
        <v>201</v>
      </c>
      <c r="F53" s="42" t="s">
        <v>66</v>
      </c>
      <c r="G53" s="43">
        <v>15</v>
      </c>
    </row>
    <row r="54" spans="2:7" x14ac:dyDescent="0.3">
      <c r="B54" s="43">
        <v>49</v>
      </c>
      <c r="C54" s="42" t="s">
        <v>140</v>
      </c>
      <c r="D54" s="42" t="s">
        <v>144</v>
      </c>
      <c r="E54" s="42" t="s">
        <v>201</v>
      </c>
      <c r="F54" s="42" t="s">
        <v>134</v>
      </c>
      <c r="G54" s="43">
        <v>12</v>
      </c>
    </row>
    <row r="55" spans="2:7" x14ac:dyDescent="0.3">
      <c r="B55" s="43">
        <v>50</v>
      </c>
      <c r="C55" s="42" t="s">
        <v>140</v>
      </c>
      <c r="D55" s="42" t="s">
        <v>145</v>
      </c>
      <c r="E55" s="42" t="s">
        <v>201</v>
      </c>
      <c r="F55" s="42" t="s">
        <v>135</v>
      </c>
      <c r="G55" s="43">
        <v>14</v>
      </c>
    </row>
    <row r="56" spans="2:7" x14ac:dyDescent="0.3">
      <c r="B56" s="43">
        <v>51</v>
      </c>
      <c r="C56" s="42" t="s">
        <v>140</v>
      </c>
      <c r="D56" s="42" t="s">
        <v>146</v>
      </c>
      <c r="E56" s="42" t="s">
        <v>201</v>
      </c>
      <c r="F56" s="42" t="s">
        <v>66</v>
      </c>
      <c r="G56" s="43">
        <v>25</v>
      </c>
    </row>
    <row r="57" spans="2:7" x14ac:dyDescent="0.3">
      <c r="B57" s="43">
        <v>52</v>
      </c>
      <c r="C57" s="42" t="s">
        <v>140</v>
      </c>
      <c r="D57" s="42" t="s">
        <v>147</v>
      </c>
      <c r="E57" s="42" t="s">
        <v>201</v>
      </c>
      <c r="F57" s="42" t="s">
        <v>136</v>
      </c>
      <c r="G57" s="43">
        <v>28</v>
      </c>
    </row>
    <row r="58" spans="2:7" x14ac:dyDescent="0.3">
      <c r="B58" s="43">
        <v>53</v>
      </c>
      <c r="C58" s="42" t="s">
        <v>140</v>
      </c>
      <c r="D58" s="42" t="s">
        <v>148</v>
      </c>
      <c r="E58" s="42" t="s">
        <v>201</v>
      </c>
      <c r="F58" s="42" t="s">
        <v>133</v>
      </c>
      <c r="G58" s="43">
        <v>14</v>
      </c>
    </row>
    <row r="59" spans="2:7" x14ac:dyDescent="0.3">
      <c r="B59" s="43">
        <v>54</v>
      </c>
      <c r="C59" s="42" t="s">
        <v>140</v>
      </c>
      <c r="D59" s="42" t="s">
        <v>149</v>
      </c>
      <c r="E59" s="42" t="s">
        <v>201</v>
      </c>
      <c r="F59" s="42" t="s">
        <v>70</v>
      </c>
      <c r="G59" s="43">
        <v>17</v>
      </c>
    </row>
    <row r="60" spans="2:7" x14ac:dyDescent="0.3">
      <c r="B60" s="43">
        <v>55</v>
      </c>
      <c r="C60" s="42" t="s">
        <v>140</v>
      </c>
      <c r="D60" s="42" t="s">
        <v>150</v>
      </c>
      <c r="E60" s="42" t="s">
        <v>201</v>
      </c>
      <c r="F60" s="42" t="s">
        <v>137</v>
      </c>
      <c r="G60" s="43">
        <v>17</v>
      </c>
    </row>
    <row r="61" spans="2:7" x14ac:dyDescent="0.3">
      <c r="B61" s="43">
        <v>56</v>
      </c>
      <c r="C61" s="42" t="s">
        <v>140</v>
      </c>
      <c r="D61" s="42" t="s">
        <v>151</v>
      </c>
      <c r="E61" s="42" t="s">
        <v>201</v>
      </c>
      <c r="F61" s="42" t="s">
        <v>66</v>
      </c>
      <c r="G61" s="43">
        <v>10</v>
      </c>
    </row>
    <row r="62" spans="2:7" x14ac:dyDescent="0.3">
      <c r="B62" s="43">
        <v>57</v>
      </c>
      <c r="C62" s="42" t="s">
        <v>140</v>
      </c>
      <c r="D62" s="42" t="s">
        <v>152</v>
      </c>
      <c r="E62" s="42" t="s">
        <v>201</v>
      </c>
      <c r="F62" s="42" t="s">
        <v>138</v>
      </c>
      <c r="G62" s="43">
        <v>18</v>
      </c>
    </row>
    <row r="63" spans="2:7" x14ac:dyDescent="0.3">
      <c r="B63" s="43">
        <v>58</v>
      </c>
      <c r="C63" s="42" t="s">
        <v>140</v>
      </c>
      <c r="D63" s="42" t="s">
        <v>153</v>
      </c>
      <c r="E63" s="42" t="s">
        <v>201</v>
      </c>
      <c r="F63" s="42" t="s">
        <v>139</v>
      </c>
      <c r="G63" s="43">
        <v>12</v>
      </c>
    </row>
    <row r="64" spans="2:7" x14ac:dyDescent="0.3">
      <c r="B64" s="43">
        <v>59</v>
      </c>
      <c r="C64" s="42" t="s">
        <v>173</v>
      </c>
      <c r="D64" s="42" t="s">
        <v>174</v>
      </c>
      <c r="E64" s="42" t="s">
        <v>154</v>
      </c>
      <c r="F64" s="42" t="s">
        <v>155</v>
      </c>
      <c r="G64" s="43">
        <v>15</v>
      </c>
    </row>
    <row r="65" spans="2:7" x14ac:dyDescent="0.3">
      <c r="B65" s="43">
        <v>60</v>
      </c>
      <c r="C65" s="42" t="s">
        <v>173</v>
      </c>
      <c r="D65" s="42" t="s">
        <v>175</v>
      </c>
      <c r="E65" s="42" t="s">
        <v>154</v>
      </c>
      <c r="F65" s="42" t="s">
        <v>156</v>
      </c>
      <c r="G65" s="43">
        <v>17</v>
      </c>
    </row>
    <row r="66" spans="2:7" x14ac:dyDescent="0.3">
      <c r="B66" s="43">
        <v>61</v>
      </c>
      <c r="C66" s="42" t="s">
        <v>173</v>
      </c>
      <c r="D66" s="42" t="s">
        <v>176</v>
      </c>
      <c r="E66" s="42" t="s">
        <v>154</v>
      </c>
      <c r="F66" s="42" t="s">
        <v>157</v>
      </c>
      <c r="G66" s="43">
        <v>11</v>
      </c>
    </row>
    <row r="67" spans="2:7" x14ac:dyDescent="0.3">
      <c r="B67" s="43">
        <v>62</v>
      </c>
      <c r="C67" s="42" t="s">
        <v>173</v>
      </c>
      <c r="D67" s="42" t="s">
        <v>177</v>
      </c>
      <c r="E67" s="42" t="s">
        <v>322</v>
      </c>
      <c r="F67" s="42" t="s">
        <v>158</v>
      </c>
      <c r="G67" s="43">
        <v>11</v>
      </c>
    </row>
    <row r="68" spans="2:7" x14ac:dyDescent="0.3">
      <c r="B68" s="43">
        <v>63</v>
      </c>
      <c r="C68" s="42" t="s">
        <v>173</v>
      </c>
      <c r="D68" s="42" t="s">
        <v>178</v>
      </c>
      <c r="E68" s="42" t="s">
        <v>363</v>
      </c>
      <c r="F68" s="42" t="s">
        <v>356</v>
      </c>
      <c r="G68" s="43">
        <v>25</v>
      </c>
    </row>
    <row r="69" spans="2:7" x14ac:dyDescent="0.3">
      <c r="B69" s="43">
        <v>64</v>
      </c>
      <c r="C69" s="42" t="s">
        <v>173</v>
      </c>
      <c r="D69" s="42" t="s">
        <v>179</v>
      </c>
      <c r="E69" s="42" t="s">
        <v>162</v>
      </c>
      <c r="F69" s="42" t="s">
        <v>159</v>
      </c>
      <c r="G69" s="43">
        <v>9</v>
      </c>
    </row>
    <row r="70" spans="2:7" x14ac:dyDescent="0.3">
      <c r="B70" s="43">
        <v>65</v>
      </c>
      <c r="C70" s="42" t="s">
        <v>173</v>
      </c>
      <c r="D70" s="42" t="s">
        <v>180</v>
      </c>
      <c r="E70" s="42" t="s">
        <v>154</v>
      </c>
      <c r="F70" s="42" t="s">
        <v>160</v>
      </c>
      <c r="G70" s="43">
        <v>22</v>
      </c>
    </row>
    <row r="71" spans="2:7" x14ac:dyDescent="0.3">
      <c r="B71" s="43">
        <v>66</v>
      </c>
      <c r="C71" s="42" t="s">
        <v>173</v>
      </c>
      <c r="D71" s="42" t="s">
        <v>181</v>
      </c>
      <c r="E71" s="42" t="s">
        <v>74</v>
      </c>
      <c r="F71" s="42" t="s">
        <v>161</v>
      </c>
      <c r="G71" s="43">
        <v>17</v>
      </c>
    </row>
    <row r="72" spans="2:7" x14ac:dyDescent="0.3">
      <c r="B72" s="43">
        <v>67</v>
      </c>
      <c r="C72" s="42" t="s">
        <v>173</v>
      </c>
      <c r="D72" s="42" t="s">
        <v>182</v>
      </c>
      <c r="E72" s="42" t="s">
        <v>162</v>
      </c>
      <c r="F72" s="42" t="s">
        <v>163</v>
      </c>
      <c r="G72" s="43">
        <v>20</v>
      </c>
    </row>
    <row r="73" spans="2:7" x14ac:dyDescent="0.3">
      <c r="B73" s="43">
        <v>68</v>
      </c>
      <c r="C73" s="42" t="s">
        <v>173</v>
      </c>
      <c r="D73" s="42" t="s">
        <v>183</v>
      </c>
      <c r="E73" s="42" t="s">
        <v>154</v>
      </c>
      <c r="F73" s="42" t="s">
        <v>164</v>
      </c>
      <c r="G73" s="43">
        <v>10</v>
      </c>
    </row>
    <row r="74" spans="2:7" x14ac:dyDescent="0.3">
      <c r="B74" s="43">
        <v>69</v>
      </c>
      <c r="C74" s="42" t="s">
        <v>173</v>
      </c>
      <c r="D74" s="42" t="s">
        <v>184</v>
      </c>
      <c r="E74" s="42" t="s">
        <v>165</v>
      </c>
      <c r="F74" s="42" t="s">
        <v>166</v>
      </c>
      <c r="G74" s="43">
        <v>20</v>
      </c>
    </row>
    <row r="75" spans="2:7" x14ac:dyDescent="0.3">
      <c r="B75" s="43">
        <v>70</v>
      </c>
      <c r="C75" s="42" t="s">
        <v>173</v>
      </c>
      <c r="D75" s="42" t="s">
        <v>185</v>
      </c>
      <c r="E75" s="42" t="s">
        <v>74</v>
      </c>
      <c r="F75" s="42" t="s">
        <v>167</v>
      </c>
      <c r="G75" s="43">
        <v>18</v>
      </c>
    </row>
    <row r="76" spans="2:7" x14ac:dyDescent="0.3">
      <c r="B76" s="43">
        <v>71</v>
      </c>
      <c r="C76" s="42" t="s">
        <v>173</v>
      </c>
      <c r="D76" s="42" t="s">
        <v>186</v>
      </c>
      <c r="E76" s="42" t="s">
        <v>154</v>
      </c>
      <c r="F76" s="42" t="s">
        <v>168</v>
      </c>
      <c r="G76" s="43">
        <v>13</v>
      </c>
    </row>
    <row r="77" spans="2:7" x14ac:dyDescent="0.3">
      <c r="B77" s="43">
        <v>72</v>
      </c>
      <c r="C77" s="42" t="s">
        <v>173</v>
      </c>
      <c r="D77" s="42" t="s">
        <v>187</v>
      </c>
      <c r="E77" s="42" t="s">
        <v>201</v>
      </c>
      <c r="F77" s="42" t="s">
        <v>169</v>
      </c>
      <c r="G77" s="43">
        <v>22</v>
      </c>
    </row>
    <row r="78" spans="2:7" x14ac:dyDescent="0.3">
      <c r="B78" s="43">
        <v>73</v>
      </c>
      <c r="C78" s="42" t="s">
        <v>173</v>
      </c>
      <c r="D78" s="42" t="s">
        <v>188</v>
      </c>
      <c r="E78" s="42" t="s">
        <v>201</v>
      </c>
      <c r="F78" s="42" t="s">
        <v>170</v>
      </c>
      <c r="G78" s="43">
        <v>23</v>
      </c>
    </row>
    <row r="79" spans="2:7" x14ac:dyDescent="0.3">
      <c r="B79" s="43">
        <v>74</v>
      </c>
      <c r="C79" s="42" t="s">
        <v>173</v>
      </c>
      <c r="D79" s="42" t="s">
        <v>189</v>
      </c>
      <c r="E79" s="42" t="s">
        <v>201</v>
      </c>
      <c r="F79" s="42" t="s">
        <v>171</v>
      </c>
      <c r="G79" s="43">
        <v>20</v>
      </c>
    </row>
    <row r="80" spans="2:7" x14ac:dyDescent="0.3">
      <c r="B80" s="43">
        <v>75</v>
      </c>
      <c r="C80" s="42" t="s">
        <v>173</v>
      </c>
      <c r="D80" s="42" t="s">
        <v>190</v>
      </c>
      <c r="E80" s="42" t="s">
        <v>154</v>
      </c>
      <c r="F80" s="42" t="s">
        <v>172</v>
      </c>
      <c r="G80" s="43">
        <v>11</v>
      </c>
    </row>
    <row r="81" spans="2:7" x14ac:dyDescent="0.3">
      <c r="B81" s="43">
        <v>76</v>
      </c>
      <c r="C81" s="42" t="s">
        <v>173</v>
      </c>
      <c r="D81" s="42" t="s">
        <v>191</v>
      </c>
      <c r="E81" s="42" t="s">
        <v>154</v>
      </c>
      <c r="F81" s="42" t="s">
        <v>70</v>
      </c>
      <c r="G81" s="43">
        <v>16</v>
      </c>
    </row>
    <row r="82" spans="2:7" x14ac:dyDescent="0.3">
      <c r="B82" s="43">
        <v>77</v>
      </c>
      <c r="C82" s="42" t="s">
        <v>232</v>
      </c>
      <c r="D82" s="42" t="s">
        <v>233</v>
      </c>
      <c r="E82" s="42" t="s">
        <v>192</v>
      </c>
      <c r="F82" s="42" t="s">
        <v>349</v>
      </c>
      <c r="G82" s="43">
        <v>11</v>
      </c>
    </row>
    <row r="83" spans="2:7" x14ac:dyDescent="0.3">
      <c r="B83" s="43">
        <v>78</v>
      </c>
      <c r="C83" s="42" t="s">
        <v>232</v>
      </c>
      <c r="D83" s="42" t="s">
        <v>234</v>
      </c>
      <c r="E83" s="42" t="s">
        <v>193</v>
      </c>
      <c r="F83" s="42" t="s">
        <v>350</v>
      </c>
      <c r="G83" s="43">
        <v>12</v>
      </c>
    </row>
    <row r="84" spans="2:7" x14ac:dyDescent="0.3">
      <c r="B84" s="43">
        <v>79</v>
      </c>
      <c r="C84" s="42" t="s">
        <v>232</v>
      </c>
      <c r="D84" s="42" t="s">
        <v>235</v>
      </c>
      <c r="E84" s="42" t="s">
        <v>162</v>
      </c>
      <c r="F84" s="42" t="s">
        <v>194</v>
      </c>
      <c r="G84" s="43">
        <v>8</v>
      </c>
    </row>
    <row r="85" spans="2:7" x14ac:dyDescent="0.3">
      <c r="B85" s="43">
        <v>80</v>
      </c>
      <c r="C85" s="42" t="s">
        <v>232</v>
      </c>
      <c r="D85" s="42" t="s">
        <v>236</v>
      </c>
      <c r="E85" s="42" t="s">
        <v>195</v>
      </c>
      <c r="F85" s="42" t="s">
        <v>351</v>
      </c>
      <c r="G85" s="43">
        <v>12</v>
      </c>
    </row>
    <row r="86" spans="2:7" x14ac:dyDescent="0.3">
      <c r="B86" s="43">
        <v>81</v>
      </c>
      <c r="C86" s="42" t="s">
        <v>232</v>
      </c>
      <c r="D86" s="42" t="s">
        <v>237</v>
      </c>
      <c r="E86" s="42" t="s">
        <v>162</v>
      </c>
      <c r="F86" s="42" t="s">
        <v>196</v>
      </c>
      <c r="G86" s="43">
        <v>12</v>
      </c>
    </row>
    <row r="87" spans="2:7" x14ac:dyDescent="0.3">
      <c r="B87" s="43">
        <v>82</v>
      </c>
      <c r="C87" s="42" t="s">
        <v>232</v>
      </c>
      <c r="D87" s="42" t="s">
        <v>238</v>
      </c>
      <c r="E87" s="42" t="s">
        <v>162</v>
      </c>
      <c r="F87" s="42" t="s">
        <v>352</v>
      </c>
      <c r="G87" s="43">
        <v>12</v>
      </c>
    </row>
    <row r="88" spans="2:7" x14ac:dyDescent="0.3">
      <c r="B88" s="43">
        <v>83</v>
      </c>
      <c r="C88" s="42" t="s">
        <v>232</v>
      </c>
      <c r="D88" s="42" t="s">
        <v>239</v>
      </c>
      <c r="E88" s="42" t="s">
        <v>197</v>
      </c>
      <c r="F88" s="42" t="s">
        <v>198</v>
      </c>
      <c r="G88" s="43">
        <v>14</v>
      </c>
    </row>
    <row r="89" spans="2:7" x14ac:dyDescent="0.3">
      <c r="B89" s="43">
        <v>84</v>
      </c>
      <c r="C89" s="42" t="s">
        <v>232</v>
      </c>
      <c r="D89" s="42" t="s">
        <v>240</v>
      </c>
      <c r="E89" s="42" t="s">
        <v>199</v>
      </c>
      <c r="F89" s="42" t="s">
        <v>200</v>
      </c>
      <c r="G89" s="43">
        <v>15</v>
      </c>
    </row>
    <row r="90" spans="2:7" x14ac:dyDescent="0.3">
      <c r="B90" s="43">
        <v>85</v>
      </c>
      <c r="C90" s="42" t="s">
        <v>232</v>
      </c>
      <c r="D90" s="42" t="s">
        <v>241</v>
      </c>
      <c r="E90" s="42" t="s">
        <v>201</v>
      </c>
      <c r="F90" s="42" t="s">
        <v>202</v>
      </c>
      <c r="G90" s="43">
        <v>21</v>
      </c>
    </row>
    <row r="91" spans="2:7" x14ac:dyDescent="0.3">
      <c r="B91" s="43">
        <v>86</v>
      </c>
      <c r="C91" s="42" t="s">
        <v>232</v>
      </c>
      <c r="D91" s="42" t="s">
        <v>242</v>
      </c>
      <c r="E91" s="42" t="s">
        <v>203</v>
      </c>
      <c r="F91" s="42" t="s">
        <v>56</v>
      </c>
      <c r="G91" s="43">
        <v>18</v>
      </c>
    </row>
    <row r="92" spans="2:7" x14ac:dyDescent="0.3">
      <c r="B92" s="43">
        <v>87</v>
      </c>
      <c r="C92" s="42" t="s">
        <v>232</v>
      </c>
      <c r="D92" s="42" t="s">
        <v>243</v>
      </c>
      <c r="E92" s="42" t="s">
        <v>204</v>
      </c>
      <c r="F92" s="42" t="s">
        <v>205</v>
      </c>
      <c r="G92" s="43">
        <v>17</v>
      </c>
    </row>
    <row r="93" spans="2:7" x14ac:dyDescent="0.3">
      <c r="B93" s="43">
        <v>88</v>
      </c>
      <c r="C93" s="42" t="s">
        <v>232</v>
      </c>
      <c r="D93" s="42" t="s">
        <v>244</v>
      </c>
      <c r="E93" s="42" t="s">
        <v>206</v>
      </c>
      <c r="F93" s="42" t="s">
        <v>200</v>
      </c>
      <c r="G93" s="43">
        <v>17</v>
      </c>
    </row>
    <row r="94" spans="2:7" x14ac:dyDescent="0.3">
      <c r="B94" s="43">
        <v>89</v>
      </c>
      <c r="C94" s="42" t="s">
        <v>232</v>
      </c>
      <c r="D94" s="42" t="s">
        <v>245</v>
      </c>
      <c r="E94" s="42" t="s">
        <v>207</v>
      </c>
      <c r="F94" s="42" t="s">
        <v>208</v>
      </c>
      <c r="G94" s="43">
        <v>15</v>
      </c>
    </row>
    <row r="95" spans="2:7" x14ac:dyDescent="0.3">
      <c r="B95" s="43">
        <v>90</v>
      </c>
      <c r="C95" s="42" t="s">
        <v>232</v>
      </c>
      <c r="D95" s="42" t="s">
        <v>246</v>
      </c>
      <c r="E95" s="42" t="s">
        <v>209</v>
      </c>
      <c r="F95" s="42" t="s">
        <v>56</v>
      </c>
      <c r="G95" s="43">
        <v>12</v>
      </c>
    </row>
    <row r="96" spans="2:7" x14ac:dyDescent="0.3">
      <c r="B96" s="43">
        <v>91</v>
      </c>
      <c r="C96" s="42" t="s">
        <v>232</v>
      </c>
      <c r="D96" s="42" t="s">
        <v>247</v>
      </c>
      <c r="E96" s="42" t="s">
        <v>207</v>
      </c>
      <c r="F96" s="42" t="s">
        <v>210</v>
      </c>
      <c r="G96" s="43">
        <v>17</v>
      </c>
    </row>
    <row r="97" spans="2:7" x14ac:dyDescent="0.3">
      <c r="B97" s="43">
        <v>92</v>
      </c>
      <c r="C97" s="42" t="s">
        <v>232</v>
      </c>
      <c r="D97" s="42" t="s">
        <v>248</v>
      </c>
      <c r="E97" s="42" t="s">
        <v>364</v>
      </c>
      <c r="F97" s="42" t="s">
        <v>211</v>
      </c>
      <c r="G97" s="43">
        <v>18</v>
      </c>
    </row>
    <row r="98" spans="2:7" x14ac:dyDescent="0.3">
      <c r="B98" s="43">
        <v>93</v>
      </c>
      <c r="C98" s="42" t="s">
        <v>232</v>
      </c>
      <c r="D98" s="42" t="s">
        <v>249</v>
      </c>
      <c r="E98" s="42" t="s">
        <v>162</v>
      </c>
      <c r="F98" s="42" t="s">
        <v>212</v>
      </c>
      <c r="G98" s="43">
        <v>11</v>
      </c>
    </row>
    <row r="99" spans="2:7" x14ac:dyDescent="0.3">
      <c r="B99" s="43">
        <v>94</v>
      </c>
      <c r="C99" s="42" t="s">
        <v>232</v>
      </c>
      <c r="D99" s="42" t="s">
        <v>250</v>
      </c>
      <c r="E99" s="42" t="s">
        <v>195</v>
      </c>
      <c r="F99" s="42" t="s">
        <v>213</v>
      </c>
      <c r="G99" s="43">
        <v>24</v>
      </c>
    </row>
    <row r="100" spans="2:7" x14ac:dyDescent="0.3">
      <c r="B100" s="43">
        <v>95</v>
      </c>
      <c r="C100" s="42" t="s">
        <v>232</v>
      </c>
      <c r="D100" s="42" t="s">
        <v>251</v>
      </c>
      <c r="E100" s="42" t="s">
        <v>197</v>
      </c>
      <c r="F100" s="42" t="s">
        <v>200</v>
      </c>
      <c r="G100" s="43">
        <v>12</v>
      </c>
    </row>
    <row r="101" spans="2:7" x14ac:dyDescent="0.3">
      <c r="B101" s="43">
        <v>96</v>
      </c>
      <c r="C101" s="42" t="s">
        <v>232</v>
      </c>
      <c r="D101" s="42" t="s">
        <v>252</v>
      </c>
      <c r="E101" s="42" t="s">
        <v>204</v>
      </c>
      <c r="F101" s="42" t="s">
        <v>214</v>
      </c>
      <c r="G101" s="43">
        <v>13</v>
      </c>
    </row>
    <row r="102" spans="2:7" x14ac:dyDescent="0.3">
      <c r="B102" s="43">
        <v>97</v>
      </c>
      <c r="C102" s="42" t="s">
        <v>232</v>
      </c>
      <c r="D102" s="42" t="s">
        <v>253</v>
      </c>
      <c r="E102" s="42" t="s">
        <v>162</v>
      </c>
      <c r="F102" s="42" t="s">
        <v>215</v>
      </c>
      <c r="G102" s="43">
        <v>8</v>
      </c>
    </row>
    <row r="103" spans="2:7" x14ac:dyDescent="0.3">
      <c r="B103" s="43">
        <v>98</v>
      </c>
      <c r="C103" s="42" t="s">
        <v>232</v>
      </c>
      <c r="D103" s="42" t="s">
        <v>254</v>
      </c>
      <c r="E103" s="42" t="s">
        <v>162</v>
      </c>
      <c r="F103" s="42" t="s">
        <v>216</v>
      </c>
      <c r="G103" s="43">
        <v>10</v>
      </c>
    </row>
    <row r="104" spans="2:7" x14ac:dyDescent="0.3">
      <c r="B104" s="43">
        <v>99</v>
      </c>
      <c r="C104" s="42" t="s">
        <v>232</v>
      </c>
      <c r="D104" s="42" t="s">
        <v>255</v>
      </c>
      <c r="E104" s="42" t="s">
        <v>206</v>
      </c>
      <c r="F104" s="42" t="s">
        <v>217</v>
      </c>
      <c r="G104" s="43">
        <v>13</v>
      </c>
    </row>
    <row r="105" spans="2:7" x14ac:dyDescent="0.3">
      <c r="B105" s="43">
        <v>100</v>
      </c>
      <c r="C105" s="42" t="s">
        <v>232</v>
      </c>
      <c r="D105" s="42" t="s">
        <v>256</v>
      </c>
      <c r="E105" s="42" t="s">
        <v>201</v>
      </c>
      <c r="F105" s="42" t="s">
        <v>218</v>
      </c>
      <c r="G105" s="43">
        <v>17</v>
      </c>
    </row>
    <row r="106" spans="2:7" x14ac:dyDescent="0.3">
      <c r="B106" s="43">
        <v>101</v>
      </c>
      <c r="C106" s="42" t="s">
        <v>232</v>
      </c>
      <c r="D106" s="42" t="s">
        <v>257</v>
      </c>
      <c r="E106" s="42" t="s">
        <v>201</v>
      </c>
      <c r="F106" s="42" t="s">
        <v>219</v>
      </c>
      <c r="G106" s="43">
        <v>23</v>
      </c>
    </row>
    <row r="107" spans="2:7" x14ac:dyDescent="0.3">
      <c r="B107" s="43">
        <v>102</v>
      </c>
      <c r="C107" s="42" t="s">
        <v>232</v>
      </c>
      <c r="D107" s="42" t="s">
        <v>258</v>
      </c>
      <c r="E107" s="42" t="s">
        <v>207</v>
      </c>
      <c r="F107" s="42" t="s">
        <v>220</v>
      </c>
      <c r="G107" s="43">
        <v>20</v>
      </c>
    </row>
    <row r="108" spans="2:7" x14ac:dyDescent="0.3">
      <c r="B108" s="43">
        <v>103</v>
      </c>
      <c r="C108" s="42" t="s">
        <v>232</v>
      </c>
      <c r="D108" s="42" t="s">
        <v>259</v>
      </c>
      <c r="E108" s="42" t="s">
        <v>221</v>
      </c>
      <c r="F108" s="42" t="s">
        <v>222</v>
      </c>
      <c r="G108" s="43">
        <v>13</v>
      </c>
    </row>
    <row r="109" spans="2:7" x14ac:dyDescent="0.3">
      <c r="B109" s="43">
        <v>104</v>
      </c>
      <c r="C109" s="42" t="s">
        <v>232</v>
      </c>
      <c r="D109" s="42" t="s">
        <v>260</v>
      </c>
      <c r="E109" s="42" t="s">
        <v>162</v>
      </c>
      <c r="F109" s="42" t="s">
        <v>223</v>
      </c>
      <c r="G109" s="43">
        <v>16</v>
      </c>
    </row>
    <row r="110" spans="2:7" x14ac:dyDescent="0.3">
      <c r="B110" s="43">
        <v>105</v>
      </c>
      <c r="C110" s="42" t="s">
        <v>232</v>
      </c>
      <c r="D110" s="42" t="s">
        <v>261</v>
      </c>
      <c r="E110" s="42" t="s">
        <v>224</v>
      </c>
      <c r="F110" s="42" t="s">
        <v>225</v>
      </c>
      <c r="G110" s="43">
        <v>15</v>
      </c>
    </row>
    <row r="111" spans="2:7" x14ac:dyDescent="0.3">
      <c r="B111" s="43">
        <v>106</v>
      </c>
      <c r="C111" s="42" t="s">
        <v>232</v>
      </c>
      <c r="D111" s="42" t="s">
        <v>262</v>
      </c>
      <c r="E111" s="42" t="s">
        <v>195</v>
      </c>
      <c r="F111" s="42" t="s">
        <v>226</v>
      </c>
      <c r="G111" s="43">
        <v>15</v>
      </c>
    </row>
    <row r="112" spans="2:7" x14ac:dyDescent="0.3">
      <c r="B112" s="43">
        <v>107</v>
      </c>
      <c r="C112" s="42" t="s">
        <v>232</v>
      </c>
      <c r="D112" s="42" t="s">
        <v>263</v>
      </c>
      <c r="E112" s="42" t="s">
        <v>227</v>
      </c>
      <c r="F112" s="42" t="s">
        <v>56</v>
      </c>
      <c r="G112" s="43">
        <v>22</v>
      </c>
    </row>
    <row r="113" spans="2:7" x14ac:dyDescent="0.3">
      <c r="B113" s="43">
        <v>108</v>
      </c>
      <c r="C113" s="42" t="s">
        <v>232</v>
      </c>
      <c r="D113" s="42" t="s">
        <v>264</v>
      </c>
      <c r="E113" s="42" t="s">
        <v>228</v>
      </c>
      <c r="F113" s="42" t="s">
        <v>229</v>
      </c>
      <c r="G113" s="43">
        <v>25</v>
      </c>
    </row>
    <row r="114" spans="2:7" x14ac:dyDescent="0.3">
      <c r="B114" s="43">
        <v>109</v>
      </c>
      <c r="C114" s="42" t="s">
        <v>232</v>
      </c>
      <c r="D114" s="42" t="s">
        <v>265</v>
      </c>
      <c r="E114" s="42" t="s">
        <v>364</v>
      </c>
      <c r="F114" s="42" t="s">
        <v>353</v>
      </c>
      <c r="G114" s="43">
        <v>24</v>
      </c>
    </row>
    <row r="115" spans="2:7" x14ac:dyDescent="0.3">
      <c r="B115" s="43">
        <v>110</v>
      </c>
      <c r="C115" s="42" t="s">
        <v>232</v>
      </c>
      <c r="D115" s="42" t="s">
        <v>266</v>
      </c>
      <c r="E115" s="42" t="s">
        <v>162</v>
      </c>
      <c r="F115" s="42" t="s">
        <v>348</v>
      </c>
      <c r="G115" s="43">
        <v>12</v>
      </c>
    </row>
    <row r="116" spans="2:7" x14ac:dyDescent="0.3">
      <c r="B116" s="43">
        <v>111</v>
      </c>
      <c r="C116" s="42" t="s">
        <v>232</v>
      </c>
      <c r="D116" s="42" t="s">
        <v>267</v>
      </c>
      <c r="E116" s="42" t="s">
        <v>162</v>
      </c>
      <c r="F116" s="42" t="s">
        <v>230</v>
      </c>
      <c r="G116" s="43">
        <v>14</v>
      </c>
    </row>
    <row r="117" spans="2:7" x14ac:dyDescent="0.3">
      <c r="B117" s="43">
        <v>112</v>
      </c>
      <c r="C117" s="42" t="s">
        <v>232</v>
      </c>
      <c r="D117" s="42" t="s">
        <v>268</v>
      </c>
      <c r="E117" s="42" t="s">
        <v>231</v>
      </c>
      <c r="F117" s="42" t="s">
        <v>231</v>
      </c>
      <c r="G117" s="43">
        <v>27</v>
      </c>
    </row>
    <row r="118" spans="2:7" x14ac:dyDescent="0.3">
      <c r="B118" s="43">
        <v>113</v>
      </c>
      <c r="C118" s="42" t="s">
        <v>278</v>
      </c>
      <c r="D118" s="42" t="s">
        <v>279</v>
      </c>
      <c r="E118" s="42" t="s">
        <v>201</v>
      </c>
      <c r="F118" s="42" t="s">
        <v>110</v>
      </c>
      <c r="G118" s="43">
        <v>9</v>
      </c>
    </row>
    <row r="119" spans="2:7" x14ac:dyDescent="0.3">
      <c r="B119" s="43">
        <v>114</v>
      </c>
      <c r="C119" s="42" t="s">
        <v>278</v>
      </c>
      <c r="D119" s="42" t="s">
        <v>280</v>
      </c>
      <c r="E119" s="42" t="s">
        <v>201</v>
      </c>
      <c r="F119" s="42" t="s">
        <v>170</v>
      </c>
      <c r="G119" s="43">
        <v>11</v>
      </c>
    </row>
    <row r="120" spans="2:7" x14ac:dyDescent="0.3">
      <c r="B120" s="43">
        <v>115</v>
      </c>
      <c r="C120" s="42" t="s">
        <v>278</v>
      </c>
      <c r="D120" s="42" t="s">
        <v>281</v>
      </c>
      <c r="E120" s="42" t="s">
        <v>201</v>
      </c>
      <c r="F120" s="42" t="s">
        <v>269</v>
      </c>
      <c r="G120" s="43">
        <v>11</v>
      </c>
    </row>
    <row r="121" spans="2:7" x14ac:dyDescent="0.3">
      <c r="B121" s="43">
        <v>116</v>
      </c>
      <c r="C121" s="42" t="s">
        <v>282</v>
      </c>
      <c r="D121" s="42" t="s">
        <v>283</v>
      </c>
      <c r="E121" s="42" t="s">
        <v>201</v>
      </c>
      <c r="F121" s="42" t="s">
        <v>270</v>
      </c>
      <c r="G121" s="43">
        <v>22</v>
      </c>
    </row>
    <row r="122" spans="2:7" x14ac:dyDescent="0.3">
      <c r="B122" s="43">
        <v>117</v>
      </c>
      <c r="C122" s="42" t="s">
        <v>282</v>
      </c>
      <c r="D122" s="42" t="s">
        <v>284</v>
      </c>
      <c r="E122" s="42" t="s">
        <v>201</v>
      </c>
      <c r="F122" s="42" t="s">
        <v>271</v>
      </c>
      <c r="G122" s="43">
        <v>14</v>
      </c>
    </row>
    <row r="123" spans="2:7" x14ac:dyDescent="0.3">
      <c r="B123" s="43">
        <v>118</v>
      </c>
      <c r="C123" s="42" t="s">
        <v>282</v>
      </c>
      <c r="D123" s="42" t="s">
        <v>285</v>
      </c>
      <c r="E123" s="42" t="s">
        <v>363</v>
      </c>
      <c r="F123" s="42" t="s">
        <v>272</v>
      </c>
      <c r="G123" s="43">
        <v>15</v>
      </c>
    </row>
    <row r="124" spans="2:7" x14ac:dyDescent="0.3">
      <c r="B124" s="43">
        <v>119</v>
      </c>
      <c r="C124" s="42" t="s">
        <v>282</v>
      </c>
      <c r="D124" s="42" t="s">
        <v>286</v>
      </c>
      <c r="E124" s="42" t="s">
        <v>201</v>
      </c>
      <c r="F124" s="42" t="s">
        <v>273</v>
      </c>
      <c r="G124" s="43">
        <v>12</v>
      </c>
    </row>
    <row r="125" spans="2:7" x14ac:dyDescent="0.3">
      <c r="B125" s="43">
        <v>120</v>
      </c>
      <c r="C125" s="42" t="s">
        <v>282</v>
      </c>
      <c r="D125" s="42" t="s">
        <v>287</v>
      </c>
      <c r="E125" s="42" t="s">
        <v>201</v>
      </c>
      <c r="F125" s="42" t="s">
        <v>274</v>
      </c>
      <c r="G125" s="43">
        <v>9</v>
      </c>
    </row>
    <row r="126" spans="2:7" x14ac:dyDescent="0.3">
      <c r="B126" s="43">
        <v>121</v>
      </c>
      <c r="C126" s="42" t="s">
        <v>282</v>
      </c>
      <c r="D126" s="42" t="s">
        <v>288</v>
      </c>
      <c r="E126" s="42" t="s">
        <v>201</v>
      </c>
      <c r="F126" s="42" t="s">
        <v>275</v>
      </c>
      <c r="G126" s="43">
        <v>11</v>
      </c>
    </row>
    <row r="127" spans="2:7" x14ac:dyDescent="0.3">
      <c r="B127" s="43">
        <v>122</v>
      </c>
      <c r="C127" s="42" t="s">
        <v>282</v>
      </c>
      <c r="D127" s="42" t="s">
        <v>289</v>
      </c>
      <c r="E127" s="42" t="s">
        <v>193</v>
      </c>
      <c r="F127" s="42" t="s">
        <v>276</v>
      </c>
      <c r="G127" s="43">
        <v>12</v>
      </c>
    </row>
    <row r="128" spans="2:7" x14ac:dyDescent="0.3">
      <c r="B128" s="43">
        <v>123</v>
      </c>
      <c r="C128" s="42" t="s">
        <v>282</v>
      </c>
      <c r="D128" s="42" t="s">
        <v>290</v>
      </c>
      <c r="E128" s="42" t="s">
        <v>193</v>
      </c>
      <c r="F128" s="42" t="s">
        <v>277</v>
      </c>
      <c r="G128" s="43">
        <v>28</v>
      </c>
    </row>
    <row r="129" spans="2:7" x14ac:dyDescent="0.3">
      <c r="B129" s="43">
        <v>124</v>
      </c>
      <c r="C129" s="42" t="s">
        <v>294</v>
      </c>
      <c r="D129" s="42" t="s">
        <v>295</v>
      </c>
      <c r="E129" s="42" t="s">
        <v>365</v>
      </c>
      <c r="F129" s="42" t="s">
        <v>291</v>
      </c>
      <c r="G129" s="43">
        <v>11</v>
      </c>
    </row>
    <row r="130" spans="2:7" x14ac:dyDescent="0.3">
      <c r="B130" s="43">
        <v>125</v>
      </c>
      <c r="C130" s="42" t="s">
        <v>294</v>
      </c>
      <c r="D130" s="42" t="s">
        <v>296</v>
      </c>
      <c r="E130" s="42" t="s">
        <v>365</v>
      </c>
      <c r="F130" s="42" t="s">
        <v>292</v>
      </c>
      <c r="G130" s="43">
        <v>14</v>
      </c>
    </row>
    <row r="131" spans="2:7" x14ac:dyDescent="0.3">
      <c r="B131" s="43">
        <v>126</v>
      </c>
      <c r="C131" s="42" t="s">
        <v>294</v>
      </c>
      <c r="D131" s="42" t="s">
        <v>297</v>
      </c>
      <c r="E131" s="42" t="s">
        <v>201</v>
      </c>
      <c r="F131" s="42" t="s">
        <v>293</v>
      </c>
      <c r="G131" s="43">
        <v>12</v>
      </c>
    </row>
    <row r="132" spans="2:7" x14ac:dyDescent="0.3">
      <c r="B132" s="43">
        <v>127</v>
      </c>
      <c r="C132" s="42" t="s">
        <v>304</v>
      </c>
      <c r="D132" s="42" t="s">
        <v>305</v>
      </c>
      <c r="E132" s="42" t="s">
        <v>201</v>
      </c>
      <c r="F132" s="42" t="s">
        <v>298</v>
      </c>
      <c r="G132" s="43">
        <v>8</v>
      </c>
    </row>
    <row r="133" spans="2:7" x14ac:dyDescent="0.3">
      <c r="B133" s="43">
        <v>128</v>
      </c>
      <c r="C133" s="42" t="s">
        <v>304</v>
      </c>
      <c r="D133" s="42" t="s">
        <v>306</v>
      </c>
      <c r="E133" s="42" t="s">
        <v>201</v>
      </c>
      <c r="F133" s="42" t="s">
        <v>299</v>
      </c>
      <c r="G133" s="43">
        <v>10</v>
      </c>
    </row>
    <row r="134" spans="2:7" x14ac:dyDescent="0.3">
      <c r="B134" s="43">
        <v>129</v>
      </c>
      <c r="C134" s="42" t="s">
        <v>304</v>
      </c>
      <c r="D134" s="42" t="s">
        <v>307</v>
      </c>
      <c r="E134" s="42" t="s">
        <v>300</v>
      </c>
      <c r="F134" s="42" t="s">
        <v>301</v>
      </c>
      <c r="G134" s="43">
        <v>13</v>
      </c>
    </row>
    <row r="135" spans="2:7" x14ac:dyDescent="0.3">
      <c r="B135" s="43">
        <v>130</v>
      </c>
      <c r="C135" s="42" t="s">
        <v>304</v>
      </c>
      <c r="D135" s="42" t="s">
        <v>308</v>
      </c>
      <c r="E135" s="42" t="s">
        <v>201</v>
      </c>
      <c r="F135" s="42" t="s">
        <v>302</v>
      </c>
      <c r="G135" s="43">
        <v>8</v>
      </c>
    </row>
    <row r="136" spans="2:7" x14ac:dyDescent="0.3">
      <c r="B136" s="43">
        <v>131</v>
      </c>
      <c r="C136" s="42" t="s">
        <v>304</v>
      </c>
      <c r="D136" s="42" t="s">
        <v>309</v>
      </c>
      <c r="E136" s="42" t="s">
        <v>201</v>
      </c>
      <c r="F136" s="42" t="s">
        <v>303</v>
      </c>
      <c r="G136" s="43">
        <v>12</v>
      </c>
    </row>
    <row r="137" spans="2:7" x14ac:dyDescent="0.3">
      <c r="B137" s="43">
        <v>132</v>
      </c>
      <c r="C137" s="42" t="s">
        <v>325</v>
      </c>
      <c r="D137" s="42" t="s">
        <v>326</v>
      </c>
      <c r="E137" s="42" t="s">
        <v>162</v>
      </c>
      <c r="F137" s="42" t="s">
        <v>310</v>
      </c>
      <c r="G137" s="43">
        <v>28</v>
      </c>
    </row>
    <row r="138" spans="2:7" x14ac:dyDescent="0.3">
      <c r="B138" s="43">
        <v>133</v>
      </c>
      <c r="C138" s="42" t="s">
        <v>325</v>
      </c>
      <c r="D138" s="42" t="s">
        <v>327</v>
      </c>
      <c r="E138" s="42" t="s">
        <v>162</v>
      </c>
      <c r="F138" s="42" t="s">
        <v>311</v>
      </c>
      <c r="G138" s="43">
        <v>18</v>
      </c>
    </row>
    <row r="139" spans="2:7" x14ac:dyDescent="0.3">
      <c r="B139" s="43">
        <v>134</v>
      </c>
      <c r="C139" s="42" t="s">
        <v>325</v>
      </c>
      <c r="D139" s="42" t="s">
        <v>328</v>
      </c>
      <c r="E139" s="42" t="s">
        <v>322</v>
      </c>
      <c r="F139" s="42" t="s">
        <v>354</v>
      </c>
      <c r="G139" s="43">
        <v>15</v>
      </c>
    </row>
    <row r="140" spans="2:7" x14ac:dyDescent="0.3">
      <c r="B140" s="43">
        <v>135</v>
      </c>
      <c r="C140" s="42" t="s">
        <v>325</v>
      </c>
      <c r="D140" s="42" t="s">
        <v>329</v>
      </c>
      <c r="E140" s="42" t="s">
        <v>201</v>
      </c>
      <c r="F140" s="42" t="s">
        <v>312</v>
      </c>
      <c r="G140" s="43">
        <v>13</v>
      </c>
    </row>
    <row r="141" spans="2:7" x14ac:dyDescent="0.3">
      <c r="B141" s="43">
        <v>136</v>
      </c>
      <c r="C141" s="42" t="s">
        <v>325</v>
      </c>
      <c r="D141" s="42" t="s">
        <v>330</v>
      </c>
      <c r="E141" s="42" t="s">
        <v>365</v>
      </c>
      <c r="F141" s="42" t="s">
        <v>313</v>
      </c>
      <c r="G141" s="43">
        <v>18</v>
      </c>
    </row>
    <row r="142" spans="2:7" x14ac:dyDescent="0.3">
      <c r="B142" s="43">
        <v>137</v>
      </c>
      <c r="C142" s="42" t="s">
        <v>325</v>
      </c>
      <c r="D142" s="42" t="s">
        <v>331</v>
      </c>
      <c r="E142" s="42" t="s">
        <v>317</v>
      </c>
      <c r="F142" s="42" t="s">
        <v>314</v>
      </c>
      <c r="G142" s="43">
        <v>23</v>
      </c>
    </row>
    <row r="143" spans="2:7" x14ac:dyDescent="0.3">
      <c r="B143" s="43">
        <v>138</v>
      </c>
      <c r="C143" s="42" t="s">
        <v>325</v>
      </c>
      <c r="D143" s="42" t="s">
        <v>332</v>
      </c>
      <c r="E143" s="42" t="s">
        <v>365</v>
      </c>
      <c r="F143" s="42" t="s">
        <v>200</v>
      </c>
      <c r="G143" s="43">
        <v>12</v>
      </c>
    </row>
    <row r="144" spans="2:7" x14ac:dyDescent="0.3">
      <c r="B144" s="43">
        <v>139</v>
      </c>
      <c r="C144" s="42" t="s">
        <v>325</v>
      </c>
      <c r="D144" s="42" t="s">
        <v>333</v>
      </c>
      <c r="E144" s="42" t="s">
        <v>199</v>
      </c>
      <c r="F144" s="42" t="s">
        <v>315</v>
      </c>
      <c r="G144" s="43">
        <v>12</v>
      </c>
    </row>
    <row r="145" spans="2:7" x14ac:dyDescent="0.3">
      <c r="B145" s="43">
        <v>140</v>
      </c>
      <c r="C145" s="42" t="s">
        <v>325</v>
      </c>
      <c r="D145" s="42" t="s">
        <v>334</v>
      </c>
      <c r="E145" s="42" t="s">
        <v>195</v>
      </c>
      <c r="F145" s="42" t="s">
        <v>200</v>
      </c>
      <c r="G145" s="43">
        <v>30</v>
      </c>
    </row>
    <row r="146" spans="2:7" x14ac:dyDescent="0.3">
      <c r="B146" s="43">
        <v>141</v>
      </c>
      <c r="C146" s="42" t="s">
        <v>325</v>
      </c>
      <c r="D146" s="42" t="s">
        <v>335</v>
      </c>
      <c r="E146" s="42" t="s">
        <v>201</v>
      </c>
      <c r="F146" s="42" t="s">
        <v>316</v>
      </c>
      <c r="G146" s="43">
        <v>26</v>
      </c>
    </row>
    <row r="147" spans="2:7" x14ac:dyDescent="0.3">
      <c r="B147" s="43">
        <v>142</v>
      </c>
      <c r="C147" s="42" t="s">
        <v>325</v>
      </c>
      <c r="D147" s="42" t="s">
        <v>336</v>
      </c>
      <c r="E147" s="42" t="s">
        <v>365</v>
      </c>
      <c r="F147" s="42" t="s">
        <v>200</v>
      </c>
      <c r="G147" s="43">
        <v>16</v>
      </c>
    </row>
    <row r="148" spans="2:7" x14ac:dyDescent="0.3">
      <c r="B148" s="43">
        <v>143</v>
      </c>
      <c r="C148" s="42" t="s">
        <v>325</v>
      </c>
      <c r="D148" s="42" t="s">
        <v>337</v>
      </c>
      <c r="E148" s="42" t="s">
        <v>317</v>
      </c>
      <c r="F148" s="42" t="s">
        <v>355</v>
      </c>
      <c r="G148" s="43">
        <v>12</v>
      </c>
    </row>
    <row r="149" spans="2:7" x14ac:dyDescent="0.3">
      <c r="B149" s="43">
        <v>144</v>
      </c>
      <c r="C149" s="42" t="s">
        <v>325</v>
      </c>
      <c r="D149" s="42" t="s">
        <v>338</v>
      </c>
      <c r="E149" s="42" t="s">
        <v>201</v>
      </c>
      <c r="F149" s="42" t="s">
        <v>318</v>
      </c>
      <c r="G149" s="43">
        <v>15</v>
      </c>
    </row>
    <row r="150" spans="2:7" x14ac:dyDescent="0.3">
      <c r="B150" s="43">
        <v>145</v>
      </c>
      <c r="C150" s="42" t="s">
        <v>325</v>
      </c>
      <c r="D150" s="42" t="s">
        <v>339</v>
      </c>
      <c r="E150" s="42" t="s">
        <v>162</v>
      </c>
      <c r="F150" s="42" t="s">
        <v>319</v>
      </c>
      <c r="G150" s="43">
        <v>10</v>
      </c>
    </row>
    <row r="151" spans="2:7" x14ac:dyDescent="0.3">
      <c r="B151" s="43">
        <v>146</v>
      </c>
      <c r="C151" s="42" t="s">
        <v>325</v>
      </c>
      <c r="D151" s="42" t="s">
        <v>340</v>
      </c>
      <c r="E151" s="42" t="s">
        <v>320</v>
      </c>
      <c r="F151" s="42" t="s">
        <v>321</v>
      </c>
      <c r="G151" s="43">
        <v>25</v>
      </c>
    </row>
    <row r="152" spans="2:7" x14ac:dyDescent="0.3">
      <c r="B152" s="43">
        <v>147</v>
      </c>
      <c r="C152" s="42" t="s">
        <v>325</v>
      </c>
      <c r="D152" s="42" t="s">
        <v>341</v>
      </c>
      <c r="E152" s="42" t="s">
        <v>322</v>
      </c>
      <c r="F152" s="42" t="s">
        <v>200</v>
      </c>
      <c r="G152" s="43">
        <v>22</v>
      </c>
    </row>
    <row r="153" spans="2:7" x14ac:dyDescent="0.3">
      <c r="B153" s="43">
        <v>148</v>
      </c>
      <c r="C153" s="42" t="s">
        <v>325</v>
      </c>
      <c r="D153" s="42" t="s">
        <v>342</v>
      </c>
      <c r="E153" s="42" t="s">
        <v>201</v>
      </c>
      <c r="F153" s="42" t="s">
        <v>323</v>
      </c>
      <c r="G153" s="43">
        <v>16</v>
      </c>
    </row>
    <row r="154" spans="2:7" x14ac:dyDescent="0.3">
      <c r="B154" s="43">
        <v>149</v>
      </c>
      <c r="C154" s="42" t="s">
        <v>325</v>
      </c>
      <c r="D154" s="42" t="s">
        <v>343</v>
      </c>
      <c r="E154" s="42" t="s">
        <v>201</v>
      </c>
      <c r="F154" s="42" t="s">
        <v>324</v>
      </c>
      <c r="G154" s="43">
        <v>14</v>
      </c>
    </row>
    <row r="155" spans="2:7" x14ac:dyDescent="0.3">
      <c r="B155" s="43">
        <v>150</v>
      </c>
      <c r="C155" s="42" t="s">
        <v>325</v>
      </c>
      <c r="D155" s="42" t="s">
        <v>344</v>
      </c>
      <c r="E155" s="42" t="s">
        <v>201</v>
      </c>
      <c r="F155" s="42" t="s">
        <v>273</v>
      </c>
      <c r="G155" s="43">
        <v>22</v>
      </c>
    </row>
    <row r="156" spans="2:7" x14ac:dyDescent="0.3">
      <c r="B156" s="43">
        <v>151</v>
      </c>
      <c r="C156" s="42" t="s">
        <v>325</v>
      </c>
      <c r="D156" s="42" t="s">
        <v>345</v>
      </c>
      <c r="E156" s="42" t="s">
        <v>201</v>
      </c>
      <c r="F156" s="42" t="s">
        <v>316</v>
      </c>
      <c r="G156" s="43">
        <v>19</v>
      </c>
    </row>
    <row r="157" spans="2:7" x14ac:dyDescent="0.3">
      <c r="B157" s="43">
        <v>152</v>
      </c>
      <c r="C157" s="42" t="s">
        <v>325</v>
      </c>
      <c r="D157" s="42" t="s">
        <v>346</v>
      </c>
      <c r="E157" s="42" t="s">
        <v>201</v>
      </c>
      <c r="F157" s="42" t="s">
        <v>347</v>
      </c>
      <c r="G157" s="43">
        <v>18</v>
      </c>
    </row>
  </sheetData>
  <autoFilter ref="C5:G157" xr:uid="{C0D6A48B-319C-4F8E-8D36-F14AA90FD689}"/>
  <phoneticPr fontId="12" type="noConversion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65F36EDDBF6542924F5DD0C846BA86" ma:contentTypeVersion="19" ma:contentTypeDescription="Create a new document." ma:contentTypeScope="" ma:versionID="30a7bd1a03e60dc35c97a331b30106bc">
  <xsd:schema xmlns:xsd="http://www.w3.org/2001/XMLSchema" xmlns:xs="http://www.w3.org/2001/XMLSchema" xmlns:p="http://schemas.microsoft.com/office/2006/metadata/properties" xmlns:ns2="00e7d46b-1944-415e-87ac-a5b500d6a479" xmlns:ns3="5eaaa8df-47f6-4f20-af17-850fcc1c2bc8" targetNamespace="http://schemas.microsoft.com/office/2006/metadata/properties" ma:root="true" ma:fieldsID="79aefd466441f1eeb38dcc60fc46b984" ns2:_="" ns3:_="">
    <xsd:import namespace="00e7d46b-1944-415e-87ac-a5b500d6a479"/>
    <xsd:import namespace="5eaaa8df-47f6-4f20-af17-850fcc1c2b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7d46b-1944-415e-87ac-a5b500d6a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2f1b44d-875d-466e-953a-167ab5035f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aa8df-47f6-4f20-af17-850fcc1c2bc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1d89c41-038c-4970-b1ce-09d6518a497f}" ma:internalName="TaxCatchAll" ma:showField="CatchAllData" ma:web="5eaaa8df-47f6-4f20-af17-850fcc1c2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aaa8df-47f6-4f20-af17-850fcc1c2bc8" xsi:nil="true"/>
    <lcf76f155ced4ddcb4097134ff3c332f xmlns="00e7d46b-1944-415e-87ac-a5b500d6a47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7AC0BF-4F84-4A41-934D-E2C54AA17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e7d46b-1944-415e-87ac-a5b500d6a479"/>
    <ds:schemaRef ds:uri="5eaaa8df-47f6-4f20-af17-850fcc1c2b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536E6B-3FDE-45B6-8623-39E020AA2824}">
  <ds:schemaRefs>
    <ds:schemaRef ds:uri="http://schemas.microsoft.com/office/2006/metadata/properties"/>
    <ds:schemaRef ds:uri="http://schemas.microsoft.com/office/infopath/2007/PartnerControls"/>
    <ds:schemaRef ds:uri="5eaaa8df-47f6-4f20-af17-850fcc1c2bc8"/>
    <ds:schemaRef ds:uri="00e7d46b-1944-415e-87ac-a5b500d6a479"/>
  </ds:schemaRefs>
</ds:datastoreItem>
</file>

<file path=customXml/itemProps3.xml><?xml version="1.0" encoding="utf-8"?>
<ds:datastoreItem xmlns:ds="http://schemas.openxmlformats.org/officeDocument/2006/customXml" ds:itemID="{DD1AFA5A-E969-461A-B324-E33C4A19F7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Faturamento</vt:lpstr>
      <vt:lpstr>Bandas de Gastos - Campanha 1S</vt:lpstr>
      <vt:lpstr>Dados gerais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Aquino</dc:creator>
  <cp:keywords/>
  <dc:description/>
  <cp:lastModifiedBy>André Legey</cp:lastModifiedBy>
  <cp:revision/>
  <dcterms:created xsi:type="dcterms:W3CDTF">2020-01-06T14:16:16Z</dcterms:created>
  <dcterms:modified xsi:type="dcterms:W3CDTF">2026-03-02T14:29:40Z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0x0101001065F36EDDBF6542924F5DD0C846BA86</vt:lpwstr>
  </property>
  <property fmtid="{D5CDD505-2E9C-101B-9397-08002B2CF9AE}" pid="3" name="MediaServiceImageTags">
    <vt:lpwstr/>
  </property>
</Properties>
</file>